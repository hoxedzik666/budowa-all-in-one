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udowy\1. Obwodnica Krosna Odrz. DK29 - POLAQUA\"/>
    </mc:Choice>
  </mc:AlternateContent>
  <xr:revisionPtr revIDLastSave="0" documentId="13_ncr:1_{63DD19F9-6F42-4ED4-B8F8-2DF09473AB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nie" sheetId="1" r:id="rId1"/>
    <sheet name="Wpusty" sheetId="2" r:id="rId2"/>
    <sheet name="Wyloty" sheetId="3" r:id="rId3"/>
    <sheet name="RURY " sheetId="4" r:id="rId4"/>
  </sheets>
  <definedNames>
    <definedName name="eur">#REF!</definedName>
    <definedName name="euro">#REF!</definedName>
    <definedName name="ke">#REF!</definedName>
    <definedName name="mw">#REF!</definedName>
    <definedName name="_xlnm.Print_Area" localSheetId="0">Studnie!$B$4:$V$199</definedName>
    <definedName name="_xlnm.Print_Area" localSheetId="1">Wpusty!$B$3:$R$460</definedName>
    <definedName name="_xlnm.Print_Area" localSheetId="2">Wyloty!$B$4:$H$441</definedName>
    <definedName name="wsp">#REF!</definedName>
    <definedName name="Wsp.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4" l="1"/>
  <c r="F6" i="4"/>
  <c r="E8" i="4"/>
  <c r="D11" i="4"/>
  <c r="F11" i="4" s="1"/>
  <c r="E11" i="4"/>
  <c r="F12" i="4"/>
  <c r="F13" i="4"/>
  <c r="K13" i="4"/>
  <c r="E22" i="4" s="1"/>
  <c r="E14" i="4"/>
  <c r="D15" i="4"/>
  <c r="F15" i="4"/>
  <c r="K16" i="4"/>
  <c r="K33" i="4" s="1"/>
  <c r="M33" i="4" s="1"/>
  <c r="F17" i="4"/>
  <c r="K17" i="4"/>
  <c r="K36" i="4" s="1"/>
  <c r="F18" i="4"/>
  <c r="K18" i="4"/>
  <c r="K30" i="4" s="1"/>
  <c r="F20" i="4"/>
  <c r="K20" i="4"/>
  <c r="E18" i="4" s="1"/>
  <c r="F21" i="4"/>
  <c r="F23" i="4"/>
  <c r="K23" i="4"/>
  <c r="E5" i="4" s="1"/>
  <c r="E24" i="4"/>
  <c r="K24" i="4"/>
  <c r="M24" i="4" s="1"/>
  <c r="E25" i="4"/>
  <c r="K25" i="4"/>
  <c r="E7" i="4" s="1"/>
  <c r="E26" i="4"/>
  <c r="K26" i="4"/>
  <c r="M26" i="4"/>
  <c r="E27" i="4"/>
  <c r="K27" i="4"/>
  <c r="M27" i="4" s="1"/>
  <c r="E28" i="4"/>
  <c r="K28" i="4"/>
  <c r="E10" i="4" s="1"/>
  <c r="M28" i="4"/>
  <c r="E29" i="4"/>
  <c r="K29" i="4"/>
  <c r="M29" i="4"/>
  <c r="E30" i="4"/>
  <c r="E31" i="4"/>
  <c r="K31" i="4"/>
  <c r="M31" i="4"/>
  <c r="E32" i="4"/>
  <c r="K32" i="4"/>
  <c r="M32" i="4" s="1"/>
  <c r="E33" i="4"/>
  <c r="E34" i="4"/>
  <c r="K34" i="4"/>
  <c r="E17" i="4" s="1"/>
  <c r="M34" i="4"/>
  <c r="E35" i="4"/>
  <c r="K35" i="4"/>
  <c r="M35" i="4" s="1"/>
  <c r="M30" i="4" l="1"/>
  <c r="E13" i="4"/>
  <c r="E21" i="4"/>
  <c r="M36" i="4"/>
  <c r="M23" i="4"/>
  <c r="E9" i="4"/>
  <c r="E20" i="4"/>
  <c r="M25" i="4"/>
  <c r="E19" i="4"/>
  <c r="E16" i="4"/>
  <c r="E12" i="4"/>
  <c r="E23" i="4"/>
  <c r="E15" i="4"/>
  <c r="E6" i="4"/>
  <c r="H199" i="1"/>
  <c r="H198" i="1"/>
</calcChain>
</file>

<file path=xl/sharedStrings.xml><?xml version="1.0" encoding="utf-8"?>
<sst xmlns="http://schemas.openxmlformats.org/spreadsheetml/2006/main" count="3367" uniqueCount="1371">
  <si>
    <t>PZ</t>
  </si>
  <si>
    <t>RTp</t>
  </si>
  <si>
    <t>Dn</t>
  </si>
  <si>
    <t>Opis</t>
  </si>
  <si>
    <t>Wyl1</t>
  </si>
  <si>
    <t>Wylot</t>
  </si>
  <si>
    <t>Wyl2</t>
  </si>
  <si>
    <t>Wyl3</t>
  </si>
  <si>
    <t>Wyl4</t>
  </si>
  <si>
    <t>D7</t>
  </si>
  <si>
    <t>Wyl5</t>
  </si>
  <si>
    <t>Wyl6</t>
  </si>
  <si>
    <t>D11</t>
  </si>
  <si>
    <t>Wyl7</t>
  </si>
  <si>
    <t>Wyl8</t>
  </si>
  <si>
    <t>Wyl9</t>
  </si>
  <si>
    <t>Wyl10</t>
  </si>
  <si>
    <t>Wyl11</t>
  </si>
  <si>
    <t>Wyl12</t>
  </si>
  <si>
    <t>Wyl13</t>
  </si>
  <si>
    <t>Wyl14</t>
  </si>
  <si>
    <t>Wyl15</t>
  </si>
  <si>
    <t>Wyl16</t>
  </si>
  <si>
    <t>Wyl17</t>
  </si>
  <si>
    <t>Wyl18</t>
  </si>
  <si>
    <t>Wyl19</t>
  </si>
  <si>
    <t>Wyl20</t>
  </si>
  <si>
    <t>Wyl145</t>
  </si>
  <si>
    <t>Wyl22</t>
  </si>
  <si>
    <t>Wyl23</t>
  </si>
  <si>
    <t>Wyl144</t>
  </si>
  <si>
    <t>Wyl26</t>
  </si>
  <si>
    <t>Wyl28</t>
  </si>
  <si>
    <t>Wyl29</t>
  </si>
  <si>
    <t>Wyl30</t>
  </si>
  <si>
    <t>D63</t>
  </si>
  <si>
    <t>Wyl31</t>
  </si>
  <si>
    <t>D64</t>
  </si>
  <si>
    <t>Wyl32</t>
  </si>
  <si>
    <t>D65</t>
  </si>
  <si>
    <t>Wyl33</t>
  </si>
  <si>
    <t>Wyl34</t>
  </si>
  <si>
    <t>Wyl35</t>
  </si>
  <si>
    <t>Wyl36</t>
  </si>
  <si>
    <t>Wyl37</t>
  </si>
  <si>
    <t>Wyl38</t>
  </si>
  <si>
    <t>Wyl39</t>
  </si>
  <si>
    <t>Wyl40</t>
  </si>
  <si>
    <t>Wyl41</t>
  </si>
  <si>
    <t>D85</t>
  </si>
  <si>
    <t>Wyl42</t>
  </si>
  <si>
    <t>D86</t>
  </si>
  <si>
    <t>Wyl43</t>
  </si>
  <si>
    <t>Wyl44</t>
  </si>
  <si>
    <t>Wyl45</t>
  </si>
  <si>
    <t>D92</t>
  </si>
  <si>
    <t>Wyl46</t>
  </si>
  <si>
    <t>D93</t>
  </si>
  <si>
    <t>Wyl47</t>
  </si>
  <si>
    <t>Wyl48</t>
  </si>
  <si>
    <t>Wyl49</t>
  </si>
  <si>
    <t>Wyl50</t>
  </si>
  <si>
    <t>Wyl51</t>
  </si>
  <si>
    <t>Wyl52</t>
  </si>
  <si>
    <t>Wyl53</t>
  </si>
  <si>
    <t>Wyl54</t>
  </si>
  <si>
    <t>Wyl57</t>
  </si>
  <si>
    <t>Wyl58</t>
  </si>
  <si>
    <t>D127</t>
  </si>
  <si>
    <t>Wyl59</t>
  </si>
  <si>
    <t>Wyl60</t>
  </si>
  <si>
    <t>Wyl61</t>
  </si>
  <si>
    <t>K1</t>
  </si>
  <si>
    <t>Wyl62</t>
  </si>
  <si>
    <t>Wyl63</t>
  </si>
  <si>
    <t>Wyl64</t>
  </si>
  <si>
    <t>D139</t>
  </si>
  <si>
    <t>Wyl65</t>
  </si>
  <si>
    <t>Wyl66</t>
  </si>
  <si>
    <t>D143</t>
  </si>
  <si>
    <t>Wyl67</t>
  </si>
  <si>
    <t>Wyl68</t>
  </si>
  <si>
    <t>D145</t>
  </si>
  <si>
    <t>Wyl69</t>
  </si>
  <si>
    <t>Wyl71</t>
  </si>
  <si>
    <t>Wyl80</t>
  </si>
  <si>
    <t>Wyl81</t>
  </si>
  <si>
    <t>Wyl82</t>
  </si>
  <si>
    <t>Wyl83</t>
  </si>
  <si>
    <t>Wyl84</t>
  </si>
  <si>
    <t>Wyl85</t>
  </si>
  <si>
    <t>Wyl86</t>
  </si>
  <si>
    <t>Wyl87</t>
  </si>
  <si>
    <t>Wyl88</t>
  </si>
  <si>
    <t>Wyl89</t>
  </si>
  <si>
    <t>Wyl90</t>
  </si>
  <si>
    <t>Wyl91</t>
  </si>
  <si>
    <t>Wyl92</t>
  </si>
  <si>
    <t>Wp52</t>
  </si>
  <si>
    <t>Wyl93</t>
  </si>
  <si>
    <t>Wyl94</t>
  </si>
  <si>
    <t>Wyl95</t>
  </si>
  <si>
    <t>Wyl96</t>
  </si>
  <si>
    <t>Wyl97</t>
  </si>
  <si>
    <t>Wp63</t>
  </si>
  <si>
    <t>Wyl99</t>
  </si>
  <si>
    <t>Wp64</t>
  </si>
  <si>
    <t>Wyl100</t>
  </si>
  <si>
    <t>D155</t>
  </si>
  <si>
    <t>Wyl101</t>
  </si>
  <si>
    <t>Wp65</t>
  </si>
  <si>
    <t>Wyl102</t>
  </si>
  <si>
    <t>Wp66</t>
  </si>
  <si>
    <t>Wyl103</t>
  </si>
  <si>
    <t>Wp67</t>
  </si>
  <si>
    <t>Wyl104</t>
  </si>
  <si>
    <t>Wp68</t>
  </si>
  <si>
    <t>Wyl105</t>
  </si>
  <si>
    <t>Wp69</t>
  </si>
  <si>
    <t>Wyl106</t>
  </si>
  <si>
    <t>Wp70</t>
  </si>
  <si>
    <t>Wyl107</t>
  </si>
  <si>
    <t>Wp71</t>
  </si>
  <si>
    <t>Wyl108</t>
  </si>
  <si>
    <t>Wyl109</t>
  </si>
  <si>
    <t>Wyl110</t>
  </si>
  <si>
    <t>Wyl111</t>
  </si>
  <si>
    <t>Wyl113</t>
  </si>
  <si>
    <t>Wyl114</t>
  </si>
  <si>
    <t>Wyl115</t>
  </si>
  <si>
    <t>Wyl116</t>
  </si>
  <si>
    <t>Wyl117</t>
  </si>
  <si>
    <t>Wyl118</t>
  </si>
  <si>
    <t>Wyl119</t>
  </si>
  <si>
    <t>Wyl120</t>
  </si>
  <si>
    <t>Wyl121</t>
  </si>
  <si>
    <t>Wyl122</t>
  </si>
  <si>
    <t>Wyl123</t>
  </si>
  <si>
    <t>Wp100</t>
  </si>
  <si>
    <t>Wyl124</t>
  </si>
  <si>
    <t>D158</t>
  </si>
  <si>
    <t>Wyl125</t>
  </si>
  <si>
    <t>Wp101</t>
  </si>
  <si>
    <t>Wyl126</t>
  </si>
  <si>
    <t>Wyl127</t>
  </si>
  <si>
    <t>Wyl128</t>
  </si>
  <si>
    <t>Wyl129</t>
  </si>
  <si>
    <t>Wyl130</t>
  </si>
  <si>
    <t>Wyl131</t>
  </si>
  <si>
    <t>Wyl132</t>
  </si>
  <si>
    <t>Wyl133</t>
  </si>
  <si>
    <t>Wyl134</t>
  </si>
  <si>
    <t>Wyl135</t>
  </si>
  <si>
    <t>Wyl136</t>
  </si>
  <si>
    <t>Wyl137</t>
  </si>
  <si>
    <t>D159</t>
  </si>
  <si>
    <t>Wyl138</t>
  </si>
  <si>
    <t>Wyl140</t>
  </si>
  <si>
    <t>Wp129</t>
  </si>
  <si>
    <t>Wyl141</t>
  </si>
  <si>
    <t>D163</t>
  </si>
  <si>
    <t>Wyl143</t>
  </si>
  <si>
    <t>Wyl142</t>
  </si>
  <si>
    <t>D12</t>
  </si>
  <si>
    <t>Wyl5.2</t>
  </si>
  <si>
    <t>Wyl427</t>
  </si>
  <si>
    <t>Wp5</t>
  </si>
  <si>
    <t>Wyl6.2</t>
  </si>
  <si>
    <t>Wp250</t>
  </si>
  <si>
    <t>Wyl252</t>
  </si>
  <si>
    <t>Wp251</t>
  </si>
  <si>
    <t>Wyl253</t>
  </si>
  <si>
    <t>Wp252</t>
  </si>
  <si>
    <t>Wyl254</t>
  </si>
  <si>
    <t>Wp253</t>
  </si>
  <si>
    <t>Wyl255</t>
  </si>
  <si>
    <t>Wp254</t>
  </si>
  <si>
    <t>Wyl256</t>
  </si>
  <si>
    <t>Wp255</t>
  </si>
  <si>
    <t>Wyl257</t>
  </si>
  <si>
    <t>Wp256</t>
  </si>
  <si>
    <t>Wyl258</t>
  </si>
  <si>
    <t>Wp257</t>
  </si>
  <si>
    <t>Wyl259</t>
  </si>
  <si>
    <t>Wp258</t>
  </si>
  <si>
    <t>Wyl260</t>
  </si>
  <si>
    <t>Wp259</t>
  </si>
  <si>
    <t>Wyl261</t>
  </si>
  <si>
    <t>Wp261</t>
  </si>
  <si>
    <t>Wyl263</t>
  </si>
  <si>
    <t>Wp262</t>
  </si>
  <si>
    <t>Wyl264</t>
  </si>
  <si>
    <t>Wp263</t>
  </si>
  <si>
    <t>Wyl265</t>
  </si>
  <si>
    <t>Wp264</t>
  </si>
  <si>
    <t>Wyl266</t>
  </si>
  <si>
    <t>Wp265</t>
  </si>
  <si>
    <t>Wyl267</t>
  </si>
  <si>
    <t>Wp266</t>
  </si>
  <si>
    <t>Wyl268</t>
  </si>
  <si>
    <t>Wp267</t>
  </si>
  <si>
    <t>Wyl269</t>
  </si>
  <si>
    <t>Wp268</t>
  </si>
  <si>
    <t>Wyl270</t>
  </si>
  <si>
    <t>Wp269</t>
  </si>
  <si>
    <t>Wyl271</t>
  </si>
  <si>
    <t>Wp270</t>
  </si>
  <si>
    <t>Wyl272</t>
  </si>
  <si>
    <t>Wp271</t>
  </si>
  <si>
    <t>Wyl273</t>
  </si>
  <si>
    <t>Wp272</t>
  </si>
  <si>
    <t>Wyl274</t>
  </si>
  <si>
    <t>Wp274</t>
  </si>
  <si>
    <t>Wyl276</t>
  </si>
  <si>
    <t>Wp275</t>
  </si>
  <si>
    <t>Wyl277</t>
  </si>
  <si>
    <t>Wp276</t>
  </si>
  <si>
    <t>Wyl278</t>
  </si>
  <si>
    <t>Wp277</t>
  </si>
  <si>
    <t>Wyl279</t>
  </si>
  <si>
    <t>Wp278</t>
  </si>
  <si>
    <t>Wyl280</t>
  </si>
  <si>
    <t>Wp280</t>
  </si>
  <si>
    <t>Wyl282</t>
  </si>
  <si>
    <t>Wp281</t>
  </si>
  <si>
    <t>Wyl283</t>
  </si>
  <si>
    <t>Wp282</t>
  </si>
  <si>
    <t>Wyl284</t>
  </si>
  <si>
    <t>Wp283</t>
  </si>
  <si>
    <t>Wyl285</t>
  </si>
  <si>
    <t>Wp284</t>
  </si>
  <si>
    <t>Wyl286</t>
  </si>
  <si>
    <t>Wp285</t>
  </si>
  <si>
    <t>Wyl287</t>
  </si>
  <si>
    <t>Wp286</t>
  </si>
  <si>
    <t>Wyl288</t>
  </si>
  <si>
    <t>Wo287</t>
  </si>
  <si>
    <t>Wyl289</t>
  </si>
  <si>
    <t>Wp288</t>
  </si>
  <si>
    <t>Wyl290</t>
  </si>
  <si>
    <t>Wp289</t>
  </si>
  <si>
    <t>Wyl291</t>
  </si>
  <si>
    <t>Wp290</t>
  </si>
  <si>
    <t>Wyl292</t>
  </si>
  <si>
    <t>Wp291</t>
  </si>
  <si>
    <t>Wyl293</t>
  </si>
  <si>
    <t>Wp292</t>
  </si>
  <si>
    <t>Wyl294</t>
  </si>
  <si>
    <t>Wp293</t>
  </si>
  <si>
    <t>Wyl295</t>
  </si>
  <si>
    <t>Wp294</t>
  </si>
  <si>
    <t>Wyl296</t>
  </si>
  <si>
    <t>Wp295</t>
  </si>
  <si>
    <t>Wyl297</t>
  </si>
  <si>
    <t>Wp296</t>
  </si>
  <si>
    <t>Wyl298</t>
  </si>
  <si>
    <t>Wp297</t>
  </si>
  <si>
    <t>Wyl299</t>
  </si>
  <si>
    <t>Wp298</t>
  </si>
  <si>
    <t>Wyl300</t>
  </si>
  <si>
    <t>Wp299</t>
  </si>
  <si>
    <t>Wyl301</t>
  </si>
  <si>
    <t>Wp300</t>
  </si>
  <si>
    <t>Wyl302</t>
  </si>
  <si>
    <t>Wp301</t>
  </si>
  <si>
    <t>Wyl303</t>
  </si>
  <si>
    <t>Wp302</t>
  </si>
  <si>
    <t>Wyl304</t>
  </si>
  <si>
    <t>Wp303</t>
  </si>
  <si>
    <t>Wyl305</t>
  </si>
  <si>
    <t>Wp304</t>
  </si>
  <si>
    <t>Wyl306</t>
  </si>
  <si>
    <t>Wp305</t>
  </si>
  <si>
    <t>Wyl307</t>
  </si>
  <si>
    <t>Wp306</t>
  </si>
  <si>
    <t>Wyl308</t>
  </si>
  <si>
    <t>Wp307</t>
  </si>
  <si>
    <t>Wyl309</t>
  </si>
  <si>
    <t>Wp308</t>
  </si>
  <si>
    <t>Wyl310</t>
  </si>
  <si>
    <t>Wp309</t>
  </si>
  <si>
    <t>Wyl311</t>
  </si>
  <si>
    <t>Wp310</t>
  </si>
  <si>
    <t>Wyl312</t>
  </si>
  <si>
    <t>Wp311</t>
  </si>
  <si>
    <t>Wyl313</t>
  </si>
  <si>
    <t>Wp312</t>
  </si>
  <si>
    <t>Wyl314</t>
  </si>
  <si>
    <t>Wp313</t>
  </si>
  <si>
    <t>Wyl315</t>
  </si>
  <si>
    <t>Wp314</t>
  </si>
  <si>
    <t>Wyl316</t>
  </si>
  <si>
    <t>Wp315</t>
  </si>
  <si>
    <t>Wyl317</t>
  </si>
  <si>
    <t>Wp316</t>
  </si>
  <si>
    <t>Wyl318</t>
  </si>
  <si>
    <t>Wp317</t>
  </si>
  <si>
    <t>Wyl319</t>
  </si>
  <si>
    <t>Wp318</t>
  </si>
  <si>
    <t>Wyl320</t>
  </si>
  <si>
    <t>Wp319</t>
  </si>
  <si>
    <t>Wyl321</t>
  </si>
  <si>
    <t>Wp320</t>
  </si>
  <si>
    <t>Wyl322</t>
  </si>
  <si>
    <t>Wp321</t>
  </si>
  <si>
    <t>Wyl323</t>
  </si>
  <si>
    <t>Wp322</t>
  </si>
  <si>
    <t>Wyl324</t>
  </si>
  <si>
    <t>Wp323</t>
  </si>
  <si>
    <t>Wyl325</t>
  </si>
  <si>
    <t>Wp324</t>
  </si>
  <si>
    <t>Wyl326</t>
  </si>
  <si>
    <t>Wp325</t>
  </si>
  <si>
    <t>Wyl327</t>
  </si>
  <si>
    <t>Wp326</t>
  </si>
  <si>
    <t>Wyl328</t>
  </si>
  <si>
    <t>Wp327</t>
  </si>
  <si>
    <t>Wyl329</t>
  </si>
  <si>
    <t>Wp328</t>
  </si>
  <si>
    <t>Wyl330</t>
  </si>
  <si>
    <t>Wp329</t>
  </si>
  <si>
    <t>Wyl331</t>
  </si>
  <si>
    <t>Wp330</t>
  </si>
  <si>
    <t>Wyl332</t>
  </si>
  <si>
    <t>Wp331</t>
  </si>
  <si>
    <t>Wyl333</t>
  </si>
  <si>
    <t>Wp332</t>
  </si>
  <si>
    <t>Wyl334</t>
  </si>
  <si>
    <t>Wp333</t>
  </si>
  <si>
    <t>Wyl335</t>
  </si>
  <si>
    <t>Wp334</t>
  </si>
  <si>
    <t>Wyl336</t>
  </si>
  <si>
    <t>Wp335</t>
  </si>
  <si>
    <t>Wyl337</t>
  </si>
  <si>
    <t>Wp336</t>
  </si>
  <si>
    <t>Wyl338</t>
  </si>
  <si>
    <t>Wp337</t>
  </si>
  <si>
    <t>Wyl339</t>
  </si>
  <si>
    <t>Wp338</t>
  </si>
  <si>
    <t>Wyl340</t>
  </si>
  <si>
    <t>Wp339</t>
  </si>
  <si>
    <t>Wyl341</t>
  </si>
  <si>
    <t>Wp340</t>
  </si>
  <si>
    <t>Wyl342</t>
  </si>
  <si>
    <t>Wp341</t>
  </si>
  <si>
    <t>Wyl343</t>
  </si>
  <si>
    <t>Wp342</t>
  </si>
  <si>
    <t>Wyl344</t>
  </si>
  <si>
    <t>Wp343</t>
  </si>
  <si>
    <t>Wyl345</t>
  </si>
  <si>
    <t>Wp344</t>
  </si>
  <si>
    <t>Wyl346</t>
  </si>
  <si>
    <t>Wp345</t>
  </si>
  <si>
    <t>Wyl347</t>
  </si>
  <si>
    <t>Wp346</t>
  </si>
  <si>
    <t>Wyl348</t>
  </si>
  <si>
    <t>Wp347</t>
  </si>
  <si>
    <t>Wyl349</t>
  </si>
  <si>
    <t>Wp348</t>
  </si>
  <si>
    <t>Wyl350</t>
  </si>
  <si>
    <t>Wp349</t>
  </si>
  <si>
    <t>Wyl351</t>
  </si>
  <si>
    <t>Wp350</t>
  </si>
  <si>
    <t>Wyl352</t>
  </si>
  <si>
    <t>Wp351</t>
  </si>
  <si>
    <t>Wyl353</t>
  </si>
  <si>
    <t>Wp352</t>
  </si>
  <si>
    <t>Wyl354</t>
  </si>
  <si>
    <t>Wp353</t>
  </si>
  <si>
    <t>Wyl355</t>
  </si>
  <si>
    <t>Wp354</t>
  </si>
  <si>
    <t>Wyl356</t>
  </si>
  <si>
    <t>Wp355</t>
  </si>
  <si>
    <t>Wyl357</t>
  </si>
  <si>
    <t>Wp356</t>
  </si>
  <si>
    <t>Wyl358</t>
  </si>
  <si>
    <t>Wp360</t>
  </si>
  <si>
    <t>Wyl362</t>
  </si>
  <si>
    <t>Wp361</t>
  </si>
  <si>
    <t>Wyl363</t>
  </si>
  <si>
    <t>Wp362</t>
  </si>
  <si>
    <t>Wyl364</t>
  </si>
  <si>
    <t>Wp363</t>
  </si>
  <si>
    <t>Wyl365</t>
  </si>
  <si>
    <t>Wp366</t>
  </si>
  <si>
    <t>Wyl368</t>
  </si>
  <si>
    <t>Wp367</t>
  </si>
  <si>
    <t>Wyl369</t>
  </si>
  <si>
    <t>Wp368</t>
  </si>
  <si>
    <t>Wyl370</t>
  </si>
  <si>
    <t>Wp369</t>
  </si>
  <si>
    <t>Wyl371</t>
  </si>
  <si>
    <t>Wp370</t>
  </si>
  <si>
    <t>Wyl372</t>
  </si>
  <si>
    <t>Wp371</t>
  </si>
  <si>
    <t>Wyl373</t>
  </si>
  <si>
    <t>Wp372</t>
  </si>
  <si>
    <t>Wyl374</t>
  </si>
  <si>
    <t>Wp373</t>
  </si>
  <si>
    <t>Wyl375</t>
  </si>
  <si>
    <t>Wyl376</t>
  </si>
  <si>
    <t>Wyl377</t>
  </si>
  <si>
    <t>Wp376</t>
  </si>
  <si>
    <t>Wyl378</t>
  </si>
  <si>
    <t>Wp377</t>
  </si>
  <si>
    <t>Wyl379</t>
  </si>
  <si>
    <t>Wp378</t>
  </si>
  <si>
    <t>Wyl380</t>
  </si>
  <si>
    <t>Wp379</t>
  </si>
  <si>
    <t>Wyl381</t>
  </si>
  <si>
    <t>Wp380</t>
  </si>
  <si>
    <t>Wyl382</t>
  </si>
  <si>
    <t>Wp381</t>
  </si>
  <si>
    <t>Wyl383</t>
  </si>
  <si>
    <t>Wp382</t>
  </si>
  <si>
    <t>Wyl384</t>
  </si>
  <si>
    <t>Wp383</t>
  </si>
  <si>
    <t>Wyl385</t>
  </si>
  <si>
    <t>Wp384</t>
  </si>
  <si>
    <t>Wyl386</t>
  </si>
  <si>
    <t>Wp385</t>
  </si>
  <si>
    <t>Wyl387</t>
  </si>
  <si>
    <t>Wp386</t>
  </si>
  <si>
    <t>Wyl388</t>
  </si>
  <si>
    <t>Wp387</t>
  </si>
  <si>
    <t>Wyl389</t>
  </si>
  <si>
    <t>Wp388</t>
  </si>
  <si>
    <t>Wyl390</t>
  </si>
  <si>
    <t>Wp389</t>
  </si>
  <si>
    <t>Wyl391</t>
  </si>
  <si>
    <t>Wp390</t>
  </si>
  <si>
    <t>Wyl392</t>
  </si>
  <si>
    <t>Wp391</t>
  </si>
  <si>
    <t>Wyl393</t>
  </si>
  <si>
    <t>Wp392</t>
  </si>
  <si>
    <t>Wyl394</t>
  </si>
  <si>
    <t>Wp393</t>
  </si>
  <si>
    <t>Wyl395</t>
  </si>
  <si>
    <t>Wp394</t>
  </si>
  <si>
    <t>Wyl396</t>
  </si>
  <si>
    <t>Wp146</t>
  </si>
  <si>
    <t>Wyl147</t>
  </si>
  <si>
    <t>Wp147</t>
  </si>
  <si>
    <t>Wyl148</t>
  </si>
  <si>
    <t>Wp148</t>
  </si>
  <si>
    <t>Wyl149</t>
  </si>
  <si>
    <t>Wp149</t>
  </si>
  <si>
    <t>Wyl150</t>
  </si>
  <si>
    <t>Wp150</t>
  </si>
  <si>
    <t>Wyl151</t>
  </si>
  <si>
    <t>Wp151</t>
  </si>
  <si>
    <t>Wyl152</t>
  </si>
  <si>
    <t>Wp152</t>
  </si>
  <si>
    <t>Wyl153</t>
  </si>
  <si>
    <t>Wp153</t>
  </si>
  <si>
    <t>Wyl154</t>
  </si>
  <si>
    <t>Wp154</t>
  </si>
  <si>
    <t>Wyl155</t>
  </si>
  <si>
    <t>Wp155</t>
  </si>
  <si>
    <t>Wyl156</t>
  </si>
  <si>
    <t>Wp156</t>
  </si>
  <si>
    <t>Wyl157</t>
  </si>
  <si>
    <t>Wp157</t>
  </si>
  <si>
    <t>Wyl158</t>
  </si>
  <si>
    <t>Wp159</t>
  </si>
  <si>
    <t>Wyl160</t>
  </si>
  <si>
    <t>Wp160</t>
  </si>
  <si>
    <t>Wyl161</t>
  </si>
  <si>
    <t>Wp161</t>
  </si>
  <si>
    <t>Wyl162</t>
  </si>
  <si>
    <t>Wp162</t>
  </si>
  <si>
    <t>Wyl163</t>
  </si>
  <si>
    <t>Wp163</t>
  </si>
  <si>
    <t>Wyl164</t>
  </si>
  <si>
    <t>Wp164</t>
  </si>
  <si>
    <t>Wyl165</t>
  </si>
  <si>
    <t>Wp165</t>
  </si>
  <si>
    <t>Wyl166</t>
  </si>
  <si>
    <t>Wp166</t>
  </si>
  <si>
    <t>Wyl167</t>
  </si>
  <si>
    <t>Wp167</t>
  </si>
  <si>
    <t>Wyl168</t>
  </si>
  <si>
    <t>Wp168</t>
  </si>
  <si>
    <t>Wyl169</t>
  </si>
  <si>
    <t>Wp169</t>
  </si>
  <si>
    <t>Wyl170</t>
  </si>
  <si>
    <t>Wp170</t>
  </si>
  <si>
    <t>Wyl171</t>
  </si>
  <si>
    <t>Wp171</t>
  </si>
  <si>
    <t>Wyl172</t>
  </si>
  <si>
    <t>Wp172</t>
  </si>
  <si>
    <t>Wyl173</t>
  </si>
  <si>
    <t>Wp173</t>
  </si>
  <si>
    <t>Wyl174</t>
  </si>
  <si>
    <t>Wp174</t>
  </si>
  <si>
    <t>Wyl175</t>
  </si>
  <si>
    <t>Wp175</t>
  </si>
  <si>
    <t>Wyl176</t>
  </si>
  <si>
    <t>Wp176</t>
  </si>
  <si>
    <t>Wyl177</t>
  </si>
  <si>
    <t>Wp177</t>
  </si>
  <si>
    <t>Wyl178</t>
  </si>
  <si>
    <t>Wp178</t>
  </si>
  <si>
    <t>Wyl179</t>
  </si>
  <si>
    <t>Wp179</t>
  </si>
  <si>
    <t>Wyl180</t>
  </si>
  <si>
    <t>Wp180</t>
  </si>
  <si>
    <t>Wyl181</t>
  </si>
  <si>
    <t>Wp181</t>
  </si>
  <si>
    <t>Wyl182</t>
  </si>
  <si>
    <t>Wp182</t>
  </si>
  <si>
    <t>Wyl183</t>
  </si>
  <si>
    <t>Wp183</t>
  </si>
  <si>
    <t>Wyl184</t>
  </si>
  <si>
    <t>Wp185</t>
  </si>
  <si>
    <t>Wyl186</t>
  </si>
  <si>
    <t>Wp186</t>
  </si>
  <si>
    <t>Wyl187</t>
  </si>
  <si>
    <t>Wp187</t>
  </si>
  <si>
    <t>Wyl188</t>
  </si>
  <si>
    <t>Wp188</t>
  </si>
  <si>
    <t>Wyl189</t>
  </si>
  <si>
    <t>Wp189</t>
  </si>
  <si>
    <t>Wyl190</t>
  </si>
  <si>
    <t>Wp190</t>
  </si>
  <si>
    <t>Wyl191</t>
  </si>
  <si>
    <t>Wp191</t>
  </si>
  <si>
    <t>Wyl192</t>
  </si>
  <si>
    <t>Wp192</t>
  </si>
  <si>
    <t>Wyl193</t>
  </si>
  <si>
    <t>Wp193</t>
  </si>
  <si>
    <t>Wyl194</t>
  </si>
  <si>
    <t>Wp194</t>
  </si>
  <si>
    <t>Wyl195</t>
  </si>
  <si>
    <t>Wp195</t>
  </si>
  <si>
    <t>Wyl196</t>
  </si>
  <si>
    <t>Wp196</t>
  </si>
  <si>
    <t>Wyl197</t>
  </si>
  <si>
    <t>Wp198</t>
  </si>
  <si>
    <t>Wyl199</t>
  </si>
  <si>
    <t>Wp199</t>
  </si>
  <si>
    <t>Wyl200</t>
  </si>
  <si>
    <t>Wp200</t>
  </si>
  <si>
    <t>Wyl201</t>
  </si>
  <si>
    <t>Wp201</t>
  </si>
  <si>
    <t>Wyl202</t>
  </si>
  <si>
    <t>Wp203</t>
  </si>
  <si>
    <t>Wyl204</t>
  </si>
  <si>
    <t>Wp204</t>
  </si>
  <si>
    <t>Wyl205</t>
  </si>
  <si>
    <t>Wp205</t>
  </si>
  <si>
    <t>Wyl206</t>
  </si>
  <si>
    <t>Wp206</t>
  </si>
  <si>
    <t>Wyl207</t>
  </si>
  <si>
    <t>Wp207</t>
  </si>
  <si>
    <t>Wyl208</t>
  </si>
  <si>
    <t>Wp208</t>
  </si>
  <si>
    <t>Wyl209</t>
  </si>
  <si>
    <t>Wp209</t>
  </si>
  <si>
    <t>Wyl210</t>
  </si>
  <si>
    <t>Wp210</t>
  </si>
  <si>
    <t>Wyl211</t>
  </si>
  <si>
    <t>Wp211</t>
  </si>
  <si>
    <t>Wyl212</t>
  </si>
  <si>
    <t>Wp212</t>
  </si>
  <si>
    <t>Wyl213</t>
  </si>
  <si>
    <t>Wp213</t>
  </si>
  <si>
    <t>Wyl214</t>
  </si>
  <si>
    <t>Wp214</t>
  </si>
  <si>
    <t>Wyl215</t>
  </si>
  <si>
    <t>Wp215</t>
  </si>
  <si>
    <t>Wyl216</t>
  </si>
  <si>
    <t>Wp216</t>
  </si>
  <si>
    <t>Wyl217</t>
  </si>
  <si>
    <t>S.S.S.Wp217</t>
  </si>
  <si>
    <t>S.S.S.Wyl218</t>
  </si>
  <si>
    <t>S.S.S.Wp218</t>
  </si>
  <si>
    <t>S.S.S.Wyl219</t>
  </si>
  <si>
    <t>S.S.S.Wp219</t>
  </si>
  <si>
    <t>S.S.S.Wyl220</t>
  </si>
  <si>
    <t>S.S.S.Wp220</t>
  </si>
  <si>
    <t>S.S.S.Wyl221</t>
  </si>
  <si>
    <t>S.S.S.Wp221</t>
  </si>
  <si>
    <t>S.S.S.Wyl222</t>
  </si>
  <si>
    <t>Wp222</t>
  </si>
  <si>
    <t>Wyl224</t>
  </si>
  <si>
    <t>Wp223</t>
  </si>
  <si>
    <t>Wyl225</t>
  </si>
  <si>
    <t>Wp224</t>
  </si>
  <si>
    <t>Wyl226</t>
  </si>
  <si>
    <t>Wp225</t>
  </si>
  <si>
    <t>Wyl227</t>
  </si>
  <si>
    <t>Wp226</t>
  </si>
  <si>
    <t>Wyl228</t>
  </si>
  <si>
    <t>Wp227</t>
  </si>
  <si>
    <t>Wyl229</t>
  </si>
  <si>
    <t>Wp228</t>
  </si>
  <si>
    <t>Wyl230</t>
  </si>
  <si>
    <t>Wp229</t>
  </si>
  <si>
    <t>Wyl231</t>
  </si>
  <si>
    <t>Wp230</t>
  </si>
  <si>
    <t>Wyl232</t>
  </si>
  <si>
    <t>Wp231</t>
  </si>
  <si>
    <t>Wyl233</t>
  </si>
  <si>
    <t>Wp232</t>
  </si>
  <si>
    <t>Wyl234</t>
  </si>
  <si>
    <t>Wp233</t>
  </si>
  <si>
    <t>Wyl235</t>
  </si>
  <si>
    <t>Wp237</t>
  </si>
  <si>
    <t>Wyl239</t>
  </si>
  <si>
    <t>Wp238</t>
  </si>
  <si>
    <t>Wyl240</t>
  </si>
  <si>
    <t>Wp239</t>
  </si>
  <si>
    <t>Wyl241</t>
  </si>
  <si>
    <t>Wp240</t>
  </si>
  <si>
    <t>Wyl242</t>
  </si>
  <si>
    <t>Wp241</t>
  </si>
  <si>
    <t>Wyl243</t>
  </si>
  <si>
    <t>Wp242</t>
  </si>
  <si>
    <t>Wyl244</t>
  </si>
  <si>
    <t>Wp243</t>
  </si>
  <si>
    <t>Wyl245</t>
  </si>
  <si>
    <t>Wp244</t>
  </si>
  <si>
    <t>Wyl246</t>
  </si>
  <si>
    <t>Wp245</t>
  </si>
  <si>
    <t>Wyl247</t>
  </si>
  <si>
    <t>Wp246</t>
  </si>
  <si>
    <t>Wyl248</t>
  </si>
  <si>
    <t>Wp247</t>
  </si>
  <si>
    <t>Wyl249</t>
  </si>
  <si>
    <t>Wp249</t>
  </si>
  <si>
    <t>Wyl251</t>
  </si>
  <si>
    <t>S.S.S.Wyl252</t>
  </si>
  <si>
    <t>S.S.S.Wp250</t>
  </si>
  <si>
    <t>S.S.S.Wyl253</t>
  </si>
  <si>
    <t>S.S.S.Wp251</t>
  </si>
  <si>
    <t>S.S.S.Wyl254</t>
  </si>
  <si>
    <t>S.S.S.Wp252</t>
  </si>
  <si>
    <t>S.S.S.Wyl255</t>
  </si>
  <si>
    <t>S.S.S.Wp253</t>
  </si>
  <si>
    <t>S.S.S.Wyl256</t>
  </si>
  <si>
    <t>Wp357</t>
  </si>
  <si>
    <t>Wyl359</t>
  </si>
  <si>
    <t>Wp395</t>
  </si>
  <si>
    <t>Wyl397</t>
  </si>
  <si>
    <t>Wp359</t>
  </si>
  <si>
    <t>Wyl361</t>
  </si>
  <si>
    <t>Wp396</t>
  </si>
  <si>
    <t>Wyl398</t>
  </si>
  <si>
    <t>Wp397</t>
  </si>
  <si>
    <t>Wyl399</t>
  </si>
  <si>
    <t>Wp398</t>
  </si>
  <si>
    <t>Wyl400</t>
  </si>
  <si>
    <t>Wp399</t>
  </si>
  <si>
    <t>Wyl401</t>
  </si>
  <si>
    <t>Wp400</t>
  </si>
  <si>
    <t>Wyl402</t>
  </si>
  <si>
    <t>Wp401</t>
  </si>
  <si>
    <t>Wyl403</t>
  </si>
  <si>
    <t>Wp402</t>
  </si>
  <si>
    <t>Wyl404</t>
  </si>
  <si>
    <t>Wp403</t>
  </si>
  <si>
    <t>Wyl405</t>
  </si>
  <si>
    <t>Wp404</t>
  </si>
  <si>
    <t>Wyl406</t>
  </si>
  <si>
    <t>Wp405</t>
  </si>
  <si>
    <t>Wyl407</t>
  </si>
  <si>
    <t>Wp406</t>
  </si>
  <si>
    <t>Wyl408</t>
  </si>
  <si>
    <t>Wp407</t>
  </si>
  <si>
    <t>Wyl409</t>
  </si>
  <si>
    <t>Wp408</t>
  </si>
  <si>
    <t>Wyl410</t>
  </si>
  <si>
    <t>Wp409</t>
  </si>
  <si>
    <t>Wyl411</t>
  </si>
  <si>
    <t>Wp410</t>
  </si>
  <si>
    <t>Wyl412</t>
  </si>
  <si>
    <t>Wp411</t>
  </si>
  <si>
    <t>Wyl413</t>
  </si>
  <si>
    <t>Wp412</t>
  </si>
  <si>
    <t>Wyl414</t>
  </si>
  <si>
    <t>Wp413</t>
  </si>
  <si>
    <t>Wyl415</t>
  </si>
  <si>
    <t>Wp414</t>
  </si>
  <si>
    <t>Wyl416</t>
  </si>
  <si>
    <t>Wp415</t>
  </si>
  <si>
    <t>Wyl417</t>
  </si>
  <si>
    <t>Wp416</t>
  </si>
  <si>
    <t>Wyl418</t>
  </si>
  <si>
    <t>Wp417</t>
  </si>
  <si>
    <t>Wyl419</t>
  </si>
  <si>
    <t>Wp428</t>
  </si>
  <si>
    <t>Wyl420</t>
  </si>
  <si>
    <t>Wp419</t>
  </si>
  <si>
    <t>Wyl421</t>
  </si>
  <si>
    <t>Wp421</t>
  </si>
  <si>
    <t>Wyl423</t>
  </si>
  <si>
    <t>Wp158</t>
  </si>
  <si>
    <t>Wyl159</t>
  </si>
  <si>
    <t>Wp235</t>
  </si>
  <si>
    <t>Wyl237</t>
  </si>
  <si>
    <t>Wp236</t>
  </si>
  <si>
    <t>Wyl238</t>
  </si>
  <si>
    <t>Wp217</t>
  </si>
  <si>
    <t>Wyl218</t>
  </si>
  <si>
    <t>Wp218</t>
  </si>
  <si>
    <t>Wyl219</t>
  </si>
  <si>
    <t>Wp219</t>
  </si>
  <si>
    <t>Wyl220</t>
  </si>
  <si>
    <t>Wp220</t>
  </si>
  <si>
    <t>Wyl221</t>
  </si>
  <si>
    <t>Wp423</t>
  </si>
  <si>
    <t>Wyl425</t>
  </si>
  <si>
    <t>Wp424</t>
  </si>
  <si>
    <t>Wyl426</t>
  </si>
  <si>
    <t>Wp202</t>
  </si>
  <si>
    <t>Wyl203</t>
  </si>
  <si>
    <t>Rz.g.</t>
  </si>
  <si>
    <t>Rz.d.</t>
  </si>
  <si>
    <t>Gł.</t>
  </si>
  <si>
    <t>D1</t>
  </si>
  <si>
    <t>D2</t>
  </si>
  <si>
    <t>KD2h</t>
  </si>
  <si>
    <t>RD1</t>
  </si>
  <si>
    <t>RD2</t>
  </si>
  <si>
    <t>PZ - Oznaczenie punktu trasy</t>
  </si>
  <si>
    <t>RTp - Rzędna terenu (projektowanego)</t>
  </si>
  <si>
    <t>Rz. g. - rzędna górna</t>
  </si>
  <si>
    <t>Rz. d. - rzędna dolna</t>
  </si>
  <si>
    <t>Gł - Głębokość studni [Gł = Rz. g. - Rz. d.]</t>
  </si>
  <si>
    <t>D1 - Wymiar przewodu wylotowego</t>
  </si>
  <si>
    <t>Rz.1 - Rzędna przewodu wylotowego</t>
  </si>
  <si>
    <t>D2 - Wymiar przewodu wlotowego</t>
  </si>
  <si>
    <t>Rz.2 - Rzędna przewodu wlotowego</t>
  </si>
  <si>
    <t>Dw1 - Wymiar pierwszego włączenia</t>
  </si>
  <si>
    <t>Rw1 - Rzędna pierwszego włączenia</t>
  </si>
  <si>
    <t>Dw2..9 - Wymiar kolejnego włączenia</t>
  </si>
  <si>
    <t>Rw2..9 - Rzędna kolejnego włączenia</t>
  </si>
  <si>
    <t>KD2h - Kąt poziomy przewodu wlotowego</t>
  </si>
  <si>
    <t>Rz. d. - rzędna dna kanału</t>
  </si>
  <si>
    <t>Dn - Wymiar poziomy (średnica)</t>
  </si>
  <si>
    <t>Studnia betonowa DN 1200, Rz.d.=42.17</t>
  </si>
  <si>
    <t>O1a</t>
  </si>
  <si>
    <t>Osadnik, Rz.d.=41.91</t>
  </si>
  <si>
    <t>Studnia betonowa DN 1500, Rz.d.=42.93</t>
  </si>
  <si>
    <t>D3</t>
  </si>
  <si>
    <t>Studnia z piaskownikiem DN1500, Rz.d.=42.96</t>
  </si>
  <si>
    <t>D4</t>
  </si>
  <si>
    <t>Studnia z piaskownikiem DN1500, Rz.d.=42.97</t>
  </si>
  <si>
    <t>D5</t>
  </si>
  <si>
    <t>Studnia z piaskownikiem DN1500, Rz.d.=43.01</t>
  </si>
  <si>
    <t>Wp133</t>
  </si>
  <si>
    <t>D6</t>
  </si>
  <si>
    <t>D8</t>
  </si>
  <si>
    <t>D9</t>
  </si>
  <si>
    <t>D10</t>
  </si>
  <si>
    <t>D162</t>
  </si>
  <si>
    <t>D14</t>
  </si>
  <si>
    <t>Studnia z piaskownikiem DN1500, Rz.d.=46.87</t>
  </si>
  <si>
    <t>O2</t>
  </si>
  <si>
    <t>Osadnik, Rz.d.=46.22</t>
  </si>
  <si>
    <t>D15</t>
  </si>
  <si>
    <t>Studnia z piaskownikiem DN1500, Rz.d.=47.26</t>
  </si>
  <si>
    <t>D171</t>
  </si>
  <si>
    <t>D16</t>
  </si>
  <si>
    <t>Studnia z piaskownikiem DN1500, Rz.d.=47.53</t>
  </si>
  <si>
    <t>D17</t>
  </si>
  <si>
    <t>Studnia betonowa DN 1200, Rz.d.=46.27</t>
  </si>
  <si>
    <t>O3</t>
  </si>
  <si>
    <t>Osadnik, Rz.d.=49.45</t>
  </si>
  <si>
    <t>D19</t>
  </si>
  <si>
    <t>D20</t>
  </si>
  <si>
    <t>Studnia z piaskownikiem DN1500, Rz.d.=50.47</t>
  </si>
  <si>
    <t>D21</t>
  </si>
  <si>
    <t>Studnia z piaskownikiem DN1500, Rz.d.=50.88</t>
  </si>
  <si>
    <t>O4</t>
  </si>
  <si>
    <t>Osadnik, Rz.d.=55.26</t>
  </si>
  <si>
    <t>D22</t>
  </si>
  <si>
    <t>Studnia betonowa DN 1500, Rz.d.=56.27</t>
  </si>
  <si>
    <t>D23</t>
  </si>
  <si>
    <t>Studnia z piaskownikiem DN1500, Rz.d.=56.28</t>
  </si>
  <si>
    <t>D24</t>
  </si>
  <si>
    <t>Studnia z piaskownikiem DN1500, Rz.d.=56.52</t>
  </si>
  <si>
    <t>O5</t>
  </si>
  <si>
    <t>Osadnik, Rz.d.=55.52</t>
  </si>
  <si>
    <t>D25</t>
  </si>
  <si>
    <t>Studnia betonowa DN 1500, Rz.d.=56.54</t>
  </si>
  <si>
    <t>D26</t>
  </si>
  <si>
    <t>Studnia z piaskownikiem DN1500, Rz.d.=56.56</t>
  </si>
  <si>
    <t>D27</t>
  </si>
  <si>
    <t>Studnia z piaskownikiem DN1500, Rz.d.=56.78</t>
  </si>
  <si>
    <t>D28</t>
  </si>
  <si>
    <t>Studnia betonowa DN 1200, Rz.d.=57.66</t>
  </si>
  <si>
    <t>O6</t>
  </si>
  <si>
    <t>Osadnik, Rz.d.=56.66</t>
  </si>
  <si>
    <t>D29</t>
  </si>
  <si>
    <t>Studnia z piaskownikiem DN1500, Rz.d.=57.67</t>
  </si>
  <si>
    <t>D30</t>
  </si>
  <si>
    <t>Studnia z piaskownikiem DN1500, Rz.d.=57.71</t>
  </si>
  <si>
    <t>O9</t>
  </si>
  <si>
    <t>Osadnik, Rz.d.=56.61</t>
  </si>
  <si>
    <t>D170</t>
  </si>
  <si>
    <t>Studnia z piaskownikiem DN1500, Rz.d.=57.16</t>
  </si>
  <si>
    <t>D32</t>
  </si>
  <si>
    <t>Studnia z piaskownikiem DN1500, Rz.d.=57.49</t>
  </si>
  <si>
    <t>D33</t>
  </si>
  <si>
    <t>Studnia betonowa DN 1200, Rz.d.=56.05</t>
  </si>
  <si>
    <t>D35</t>
  </si>
  <si>
    <t>Studnia z piaskownikiem DN1500, Rz.d.=56.10</t>
  </si>
  <si>
    <t>D36</t>
  </si>
  <si>
    <t>Studnia z piaskownikiem DN1500, Rz.d.=56.13</t>
  </si>
  <si>
    <t>O7</t>
  </si>
  <si>
    <t>Osadnik, Rz.d.=63.02</t>
  </si>
  <si>
    <t>D37</t>
  </si>
  <si>
    <t>Studnia betonowa DN 1200, Rz.d.=64.02</t>
  </si>
  <si>
    <t>D38</t>
  </si>
  <si>
    <t>Studnia betonowa DN 1200, Rz.d.=65.32</t>
  </si>
  <si>
    <t>D40</t>
  </si>
  <si>
    <t>Studnia betonowa DN 1200, Rz.d.=65.72</t>
  </si>
  <si>
    <t>D42</t>
  </si>
  <si>
    <t>D41</t>
  </si>
  <si>
    <t>Studnia z piaskownikiem DN1500, Rz.d.=64.27</t>
  </si>
  <si>
    <t>Studnia z piaskownikiem DN1500, Rz.d.=64.89</t>
  </si>
  <si>
    <t>O8</t>
  </si>
  <si>
    <t>Osadnik, Rz.d.=69.00</t>
  </si>
  <si>
    <t>D43</t>
  </si>
  <si>
    <t>Studnia z piaskownikiem DN1500, Rz.d.=69.90</t>
  </si>
  <si>
    <t>D44</t>
  </si>
  <si>
    <t>Studnia z piaskownikiem DN1500, Rz.d.=71.03</t>
  </si>
  <si>
    <t>D46</t>
  </si>
  <si>
    <t>Studnia betonowa DN 1200, Rz.d.=82.44</t>
  </si>
  <si>
    <t>D47</t>
  </si>
  <si>
    <t>Studnia betonowa DN 1200, Rz.d.=82.48</t>
  </si>
  <si>
    <t>D48</t>
  </si>
  <si>
    <t>Studnia betonowa DN 1200, Rz.d.=82.49</t>
  </si>
  <si>
    <t>D49</t>
  </si>
  <si>
    <t>Studnia betonowa DN 1200, Rz.d.=82.51</t>
  </si>
  <si>
    <t>D50</t>
  </si>
  <si>
    <t>Studnia betonowa DN 1200, Rz.d.=82.55</t>
  </si>
  <si>
    <t>D51</t>
  </si>
  <si>
    <t>D52</t>
  </si>
  <si>
    <t>Studnia z piaskownikiem DN1500, Rz.d.=82.53</t>
  </si>
  <si>
    <t>D169</t>
  </si>
  <si>
    <t>Studnia betonowa DN 1200, Rz.d.=89.66</t>
  </si>
  <si>
    <t>D55</t>
  </si>
  <si>
    <t>Studnia betonowa DN 1200, Rz.d.=89.53</t>
  </si>
  <si>
    <t>D57</t>
  </si>
  <si>
    <t>Studnia betonowa DN 1200, Rz.d.=80.52</t>
  </si>
  <si>
    <t>D59</t>
  </si>
  <si>
    <t>D60</t>
  </si>
  <si>
    <t>D61</t>
  </si>
  <si>
    <t>Studnia betonowa DN 1200, Rz.d.=74.56</t>
  </si>
  <si>
    <t>D62</t>
  </si>
  <si>
    <t>D66</t>
  </si>
  <si>
    <t>Studnia betonowa DN 1200, Rz.d.=51.07</t>
  </si>
  <si>
    <t>D67</t>
  </si>
  <si>
    <t>Studnia betonowa DN 1200, Rz.d.=51.08</t>
  </si>
  <si>
    <t>D68</t>
  </si>
  <si>
    <t>Studnia z piaskownikiem DN1500, Rz.d.=52.37</t>
  </si>
  <si>
    <t>D69</t>
  </si>
  <si>
    <t>Studnia z piaskownikiem DN1500, Rz.d.=53.42</t>
  </si>
  <si>
    <t>D70</t>
  </si>
  <si>
    <t>Studnia betonowa DN 1200, Rz.d.=48.10</t>
  </si>
  <si>
    <t>SEP1</t>
  </si>
  <si>
    <t>Separator</t>
  </si>
  <si>
    <t>D71</t>
  </si>
  <si>
    <t>D173</t>
  </si>
  <si>
    <t>D72</t>
  </si>
  <si>
    <t>D73</t>
  </si>
  <si>
    <t>Studnia betonowa DN 1200, Rz.d.=46.22</t>
  </si>
  <si>
    <t>D74</t>
  </si>
  <si>
    <t>SEP2</t>
  </si>
  <si>
    <t>D75</t>
  </si>
  <si>
    <t>Studnia z piaskownikiem DN1500, Rz.d.=46.30</t>
  </si>
  <si>
    <t>D76</t>
  </si>
  <si>
    <t>Studnia z piaskownikiem DN1500, Rz.d.=46.35</t>
  </si>
  <si>
    <t>D77</t>
  </si>
  <si>
    <t>Studnia z piaskownikiem DN1500, Rz.d.=46.77</t>
  </si>
  <si>
    <t>D79</t>
  </si>
  <si>
    <t>Studnia betonowa DN 1200, Rz.d.=51.41</t>
  </si>
  <si>
    <t>D80</t>
  </si>
  <si>
    <t>Studnia z piaskownikiem DN1500, Rz.d.=51.74</t>
  </si>
  <si>
    <t>D81</t>
  </si>
  <si>
    <t>D82</t>
  </si>
  <si>
    <t>Studnia betonowa DN 1200, Rz.d.=51.53</t>
  </si>
  <si>
    <t>D83</t>
  </si>
  <si>
    <t>Studnia z piaskownikiem DN1500, Rz.d.=51.55</t>
  </si>
  <si>
    <t>D84</t>
  </si>
  <si>
    <t>SEP1a</t>
  </si>
  <si>
    <t>D87.2</t>
  </si>
  <si>
    <t>D87</t>
  </si>
  <si>
    <t>Studnia z piaskownikiem DN1500, Rz.d.=80.12</t>
  </si>
  <si>
    <t>D88</t>
  </si>
  <si>
    <t>Studnia z piaskownikiem DN1500, Rz.d.=80.16</t>
  </si>
  <si>
    <t>SEP2a</t>
  </si>
  <si>
    <t>D89</t>
  </si>
  <si>
    <t>Studnia betonowa DN 1200, Rz.d.=80.07</t>
  </si>
  <si>
    <t>D90</t>
  </si>
  <si>
    <t>Studnia z piaskownikiem DN1500, Rz.d.=80.09</t>
  </si>
  <si>
    <t>D91</t>
  </si>
  <si>
    <t>Studnia z piaskownikiem DN1500, Rz.d.=77.98</t>
  </si>
  <si>
    <t>D94</t>
  </si>
  <si>
    <t>Studnia betonowa DN 1200, Rz.d.=84.10</t>
  </si>
  <si>
    <t>D95</t>
  </si>
  <si>
    <t>Studnia betonowa DN 1200, Rz.d.=84.32</t>
  </si>
  <si>
    <t>D168</t>
  </si>
  <si>
    <t>Studnia z piaskownikiem DN1500, Rz.d.=39.84</t>
  </si>
  <si>
    <t>SEP3</t>
  </si>
  <si>
    <t>D97</t>
  </si>
  <si>
    <t>D98</t>
  </si>
  <si>
    <t>D99</t>
  </si>
  <si>
    <t>D100</t>
  </si>
  <si>
    <t>D101</t>
  </si>
  <si>
    <t>Studnia betonowa DN 1500, Rz.d.=39.33</t>
  </si>
  <si>
    <t>D102</t>
  </si>
  <si>
    <t>Studnia betonowa DN 1500, Rz.d.=39.41</t>
  </si>
  <si>
    <t>SEP4</t>
  </si>
  <si>
    <t>D103</t>
  </si>
  <si>
    <t>Studnia betonowa DN 1500, Rz.d.=39.47</t>
  </si>
  <si>
    <t>D104</t>
  </si>
  <si>
    <t>Studnia betonowa DN 1500, Rz.d.=39.58</t>
  </si>
  <si>
    <t>D105</t>
  </si>
  <si>
    <t>Studnia z piaskownikiem DN1500, Rz.d.=39.64</t>
  </si>
  <si>
    <t>D106</t>
  </si>
  <si>
    <t>Studnia z piaskownikiem DN1500, Rz.d.=39.76</t>
  </si>
  <si>
    <t>D107</t>
  </si>
  <si>
    <t>D108</t>
  </si>
  <si>
    <t>Studnia betonowa DN 1200, Rz.d.=44.27</t>
  </si>
  <si>
    <t>D109</t>
  </si>
  <si>
    <t>Studnia betonowa DN 1200, Rz.d.=44.50</t>
  </si>
  <si>
    <t>D110</t>
  </si>
  <si>
    <t>SEP5</t>
  </si>
  <si>
    <t>D111</t>
  </si>
  <si>
    <t>D112</t>
  </si>
  <si>
    <t>D113</t>
  </si>
  <si>
    <t>SEP6</t>
  </si>
  <si>
    <t>O10</t>
  </si>
  <si>
    <t>D114</t>
  </si>
  <si>
    <t>D115</t>
  </si>
  <si>
    <t>D116</t>
  </si>
  <si>
    <t>Wp17</t>
  </si>
  <si>
    <t>D117.1</t>
  </si>
  <si>
    <t>Studnia Kaskadowa DN1200, Rz.d.=47.47</t>
  </si>
  <si>
    <t>D117</t>
  </si>
  <si>
    <t>Studnia Kaskadowa DN1200, Rz.d.=52.16</t>
  </si>
  <si>
    <t>Wp18</t>
  </si>
  <si>
    <t>D118</t>
  </si>
  <si>
    <t>Studnia betonowa DN 1200, Rz.d.=55.46</t>
  </si>
  <si>
    <t>D122</t>
  </si>
  <si>
    <t>Studnia z piaskownikiem DN1500, Rz.d.=81.88</t>
  </si>
  <si>
    <t>D123</t>
  </si>
  <si>
    <t>D124</t>
  </si>
  <si>
    <t>Studnia betonowa DN 1200, Rz.d.=81.82</t>
  </si>
  <si>
    <t>D125</t>
  </si>
  <si>
    <t>D126</t>
  </si>
  <si>
    <t>Studnia z piaskownikiem DN1500, Rz.d.=82.40</t>
  </si>
  <si>
    <t>D128</t>
  </si>
  <si>
    <t>Studnia betonowa DN 1200, Rz.d.=81.32</t>
  </si>
  <si>
    <t>D129</t>
  </si>
  <si>
    <t>D131</t>
  </si>
  <si>
    <t>Studnia betonowa DN 1200, Rz.d.=81.43</t>
  </si>
  <si>
    <t>D132</t>
  </si>
  <si>
    <t>Studnia betonowa DN 1200, Rz.d.=81.48</t>
  </si>
  <si>
    <t>Przepompownia wód opadowych, Rz.d.=79.04</t>
  </si>
  <si>
    <t>O1</t>
  </si>
  <si>
    <t>Osadnik, Rz.d.=79.52</t>
  </si>
  <si>
    <t>D133</t>
  </si>
  <si>
    <t>Studnia betonowa DN 1200, Rz.d.=80.71</t>
  </si>
  <si>
    <t>O11</t>
  </si>
  <si>
    <t>Osadnik, Rz.d.=54.93</t>
  </si>
  <si>
    <t>D167</t>
  </si>
  <si>
    <t>Studnia betonowa DN 1200, Rz.d.=55.95</t>
  </si>
  <si>
    <t>D134</t>
  </si>
  <si>
    <t>Studnia z piaskownikiem DN1500, Rz.d.=55.98</t>
  </si>
  <si>
    <t>D135</t>
  </si>
  <si>
    <t>D136</t>
  </si>
  <si>
    <t>Studnia betonowa DN 1200, Rz.d.=45.12</t>
  </si>
  <si>
    <t>D137</t>
  </si>
  <si>
    <t>D138</t>
  </si>
  <si>
    <t>Studnia rozprężna</t>
  </si>
  <si>
    <t>D140</t>
  </si>
  <si>
    <t>Studnia z piaskownikiem DN1500, Rz.d.=52.25</t>
  </si>
  <si>
    <t>D141</t>
  </si>
  <si>
    <t>D142</t>
  </si>
  <si>
    <t>O12</t>
  </si>
  <si>
    <t>Osadnik, Rz.d.=38.66</t>
  </si>
  <si>
    <t>D144</t>
  </si>
  <si>
    <t>Studnia Kaskadowa DN1200, Rz.d.=61.21</t>
  </si>
  <si>
    <t>D147</t>
  </si>
  <si>
    <t>Studnia z piaskownikiem DN1500, Rz.d.=58.81</t>
  </si>
  <si>
    <t>D165</t>
  </si>
  <si>
    <t>Studnia z piaskownikiem DN1500, Rz.d.=59.41</t>
  </si>
  <si>
    <t>Wp435</t>
  </si>
  <si>
    <t>D147.1</t>
  </si>
  <si>
    <t>Studnia Kaskadowa DN1200, Rz.d.=60.91</t>
  </si>
  <si>
    <t>D149</t>
  </si>
  <si>
    <t>Studnia betonowa DN 1500, Rz.d.=48.97</t>
  </si>
  <si>
    <t>D150</t>
  </si>
  <si>
    <t>Studnia Kaskadowa DN1200, Rz.d.=50.40</t>
  </si>
  <si>
    <t>D164</t>
  </si>
  <si>
    <t>Studnia betonowa DN 1200, Rz.d.=39.02</t>
  </si>
  <si>
    <t>D151</t>
  </si>
  <si>
    <t>Studnia betonowa DN 1200, Rz.d.=39.09</t>
  </si>
  <si>
    <t>SEP4a</t>
  </si>
  <si>
    <t>D153</t>
  </si>
  <si>
    <t>Studnia z piaskownikiem DN1500, Rz.d.=39.12</t>
  </si>
  <si>
    <t>D154</t>
  </si>
  <si>
    <t>Studnia z piaskownikiem DN1500, Rz.d.=82.26</t>
  </si>
  <si>
    <t>D156</t>
  </si>
  <si>
    <t>Studnia betonowa DN 1200, Rz.d.=47.54</t>
  </si>
  <si>
    <t>D160</t>
  </si>
  <si>
    <t>Studnia betonowa DN 1200, Rz.d.=45.74</t>
  </si>
  <si>
    <t>D161</t>
  </si>
  <si>
    <t>Studnia betonowa DN 1200, Rz.d.=85.43</t>
  </si>
  <si>
    <t>Studnia z piaskownikiem DN1500, Rz.d.=81.38</t>
  </si>
  <si>
    <t>D13</t>
  </si>
  <si>
    <t>Studnia betonowa DN 1200, Rz.d.=54.06</t>
  </si>
  <si>
    <t>S.S.S.Ws7</t>
  </si>
  <si>
    <t>Studnia z piaskownikiem DN2000, Rz.d.=81,97, Rz.d.=81.97</t>
  </si>
  <si>
    <t>S.S.S.Ws8</t>
  </si>
  <si>
    <t>Studnia z piaskownikiem DN1500, Rz.d.=82.10</t>
  </si>
  <si>
    <t>Dw1</t>
  </si>
  <si>
    <t>Rw1</t>
  </si>
  <si>
    <t>Dw2</t>
  </si>
  <si>
    <t>Rw2</t>
  </si>
  <si>
    <t>K0</t>
  </si>
  <si>
    <t>K2</t>
  </si>
  <si>
    <t>Uwagi</t>
  </si>
  <si>
    <t xml:space="preserve">Dn - wymiar węzła </t>
  </si>
  <si>
    <t>K0 - Kąt poziomy przewodu wlotowego</t>
  </si>
  <si>
    <t>K1 - Kąt poziomy pierwszego włączenia</t>
  </si>
  <si>
    <t>K2 - Kąt poziomy kolejnego włączenia</t>
  </si>
  <si>
    <t>Odbiornik</t>
  </si>
  <si>
    <t>Rz</t>
  </si>
  <si>
    <t>Dk</t>
  </si>
  <si>
    <t>RZ1</t>
  </si>
  <si>
    <t>Spadek</t>
  </si>
  <si>
    <t>RZ2</t>
  </si>
  <si>
    <t>Wp440</t>
  </si>
  <si>
    <t>Wp1</t>
  </si>
  <si>
    <t>Wp3</t>
  </si>
  <si>
    <t>Wp2</t>
  </si>
  <si>
    <t>Wp134</t>
  </si>
  <si>
    <t>Wp6</t>
  </si>
  <si>
    <t>Wp132</t>
  </si>
  <si>
    <t>Wp427</t>
  </si>
  <si>
    <t>Wp8</t>
  </si>
  <si>
    <t>Wp426</t>
  </si>
  <si>
    <t>Wp425</t>
  </si>
  <si>
    <t>Wp136</t>
  </si>
  <si>
    <t>Wp135</t>
  </si>
  <si>
    <t>Wp430</t>
  </si>
  <si>
    <t>Wp431</t>
  </si>
  <si>
    <t>Wp432</t>
  </si>
  <si>
    <t>Wp433</t>
  </si>
  <si>
    <t>Wp137</t>
  </si>
  <si>
    <t>Wp9</t>
  </si>
  <si>
    <t>Wp10</t>
  </si>
  <si>
    <t>Wp12</t>
  </si>
  <si>
    <t>Wp11</t>
  </si>
  <si>
    <t>Wp13</t>
  </si>
  <si>
    <t>Wp14</t>
  </si>
  <si>
    <t>Wp138</t>
  </si>
  <si>
    <t>Wp139</t>
  </si>
  <si>
    <t>Wp15</t>
  </si>
  <si>
    <t>Wp16</t>
  </si>
  <si>
    <t>Wp141</t>
  </si>
  <si>
    <t>Wp19</t>
  </si>
  <si>
    <t>Wp20</t>
  </si>
  <si>
    <t>Wp437</t>
  </si>
  <si>
    <t>Wp436</t>
  </si>
  <si>
    <t>Wp434</t>
  </si>
  <si>
    <t>Wp429</t>
  </si>
  <si>
    <t>Wp28</t>
  </si>
  <si>
    <t>Wp29</t>
  </si>
  <si>
    <t>Wp30</t>
  </si>
  <si>
    <t>Wp31</t>
  </si>
  <si>
    <t>Wp32</t>
  </si>
  <si>
    <t>Wp33</t>
  </si>
  <si>
    <t>Wp34</t>
  </si>
  <si>
    <t>Wp35</t>
  </si>
  <si>
    <t>Wp36</t>
  </si>
  <si>
    <t>Wp37</t>
  </si>
  <si>
    <t>Wp38</t>
  </si>
  <si>
    <t>Wp39</t>
  </si>
  <si>
    <t>Wp40</t>
  </si>
  <si>
    <t>Wp41</t>
  </si>
  <si>
    <t>Wp42</t>
  </si>
  <si>
    <t>Wp43</t>
  </si>
  <si>
    <t>Wp44</t>
  </si>
  <si>
    <t>Wp45</t>
  </si>
  <si>
    <t>Wp46</t>
  </si>
  <si>
    <t>Wp47</t>
  </si>
  <si>
    <t>Wp48</t>
  </si>
  <si>
    <t>Wp49</t>
  </si>
  <si>
    <t>Wp50</t>
  </si>
  <si>
    <t>Wp51</t>
  </si>
  <si>
    <t>Wp53</t>
  </si>
  <si>
    <t>Wp54</t>
  </si>
  <si>
    <t>Wp55</t>
  </si>
  <si>
    <t>Wp56</t>
  </si>
  <si>
    <t>Wp57</t>
  </si>
  <si>
    <t>Wp58</t>
  </si>
  <si>
    <t>Wp59</t>
  </si>
  <si>
    <t>Wp60</t>
  </si>
  <si>
    <t>Wp61</t>
  </si>
  <si>
    <t>Wp72</t>
  </si>
  <si>
    <t>Wp73</t>
  </si>
  <si>
    <t>Wp74</t>
  </si>
  <si>
    <t>Wp75</t>
  </si>
  <si>
    <t>Wp76</t>
  </si>
  <si>
    <t>Wp77</t>
  </si>
  <si>
    <t>Wp78</t>
  </si>
  <si>
    <t>Wp79</t>
  </si>
  <si>
    <t>Wp80</t>
  </si>
  <si>
    <t>Wp81</t>
  </si>
  <si>
    <t>Wp82</t>
  </si>
  <si>
    <t>Wp83</t>
  </si>
  <si>
    <t>Wp84</t>
  </si>
  <si>
    <t>Wp85</t>
  </si>
  <si>
    <t>Wp86</t>
  </si>
  <si>
    <t>Wp87</t>
  </si>
  <si>
    <t>Wp88</t>
  </si>
  <si>
    <t>Wp89</t>
  </si>
  <si>
    <t>Wp90</t>
  </si>
  <si>
    <t>Wp91</t>
  </si>
  <si>
    <t>Wp92</t>
  </si>
  <si>
    <t>Wp93</t>
  </si>
  <si>
    <t>Wp94</t>
  </si>
  <si>
    <t>Wp95</t>
  </si>
  <si>
    <t>Wp96</t>
  </si>
  <si>
    <t>Wp97</t>
  </si>
  <si>
    <t>Wp98</t>
  </si>
  <si>
    <t>Wp99</t>
  </si>
  <si>
    <t>Wp102</t>
  </si>
  <si>
    <t>Wp103</t>
  </si>
  <si>
    <t>Wp104</t>
  </si>
  <si>
    <t>Wp105</t>
  </si>
  <si>
    <t>Wp106</t>
  </si>
  <si>
    <t>Wp107</t>
  </si>
  <si>
    <t>Wp108</t>
  </si>
  <si>
    <t>Wp109</t>
  </si>
  <si>
    <t>Wp110</t>
  </si>
  <si>
    <t>Wp111</t>
  </si>
  <si>
    <t>Wp112</t>
  </si>
  <si>
    <t>Wp113</t>
  </si>
  <si>
    <t>Wp114</t>
  </si>
  <si>
    <t>Wp115</t>
  </si>
  <si>
    <t>Wp116</t>
  </si>
  <si>
    <t>Wp117</t>
  </si>
  <si>
    <t>Wp118</t>
  </si>
  <si>
    <t>Wp119</t>
  </si>
  <si>
    <t>Wp120</t>
  </si>
  <si>
    <t>Wp121</t>
  </si>
  <si>
    <t>Wp122</t>
  </si>
  <si>
    <t>Wp123</t>
  </si>
  <si>
    <t>Wp125</t>
  </si>
  <si>
    <t>Wp126</t>
  </si>
  <si>
    <t>Wp439</t>
  </si>
  <si>
    <t>Wp438</t>
  </si>
  <si>
    <t>Wp131</t>
  </si>
  <si>
    <t>Wp4</t>
  </si>
  <si>
    <t>Wp130</t>
  </si>
  <si>
    <t>Wp374</t>
  </si>
  <si>
    <t>Wp441</t>
  </si>
  <si>
    <t>Wp375</t>
  </si>
  <si>
    <t>Wp442</t>
  </si>
  <si>
    <t>rura SN12</t>
  </si>
  <si>
    <t>Rz. Dna rowu/zbiornika</t>
  </si>
  <si>
    <t>Rz. Dna rowu</t>
  </si>
  <si>
    <t>dwustonny (2)/jednostronny(1)</t>
  </si>
  <si>
    <t>----</t>
  </si>
  <si>
    <t>---</t>
  </si>
  <si>
    <t>Studnia z piaskownikiem DN1500, Rz.d.=39.62</t>
  </si>
  <si>
    <t>Studnia z piaskownikiem DN1500, Rz.d.=82.00</t>
  </si>
  <si>
    <t>Studnia z piaskownikiem DN1500, Rz.d.=81.84</t>
  </si>
  <si>
    <t>Studnia z piaskownikiem DN1500, Rz.d.=81.91</t>
  </si>
  <si>
    <t>Studnia z piaskownikiem DN1500, Rz.d.=81.33</t>
  </si>
  <si>
    <t>Studnia z piaskownikiem DN1500, Rz.d.=45.80</t>
  </si>
  <si>
    <t>Studnia z piaskownikiem DN1500, Rz.d.=43.02</t>
  </si>
  <si>
    <t>Studnia z piaskownikiem DN1500, Rz.d.=44.33</t>
  </si>
  <si>
    <t>Studnia z piaskownikiem DN1500, Rz.d.=47.29</t>
  </si>
  <si>
    <t>Studnia z piaskownikiem DN1500, Rz.d.=82.57</t>
  </si>
  <si>
    <t>Studnia z piaskownikiem DN1500, Rz.d.=81.19</t>
  </si>
  <si>
    <t>Studnia z piaskownikiem DN1500, Rz.d.=81.34</t>
  </si>
  <si>
    <t>Studnia z piaskownikiem DN1500, Rz.d.=59.21</t>
  </si>
  <si>
    <t>Studnia z piaskownikiem DN1500, Rz.d.=82.38</t>
  </si>
  <si>
    <t>Studnia z piaskownikiem DN1500, Rz.d.=80.14</t>
  </si>
  <si>
    <t>Studnia z piaskownikiem DN1500, Rz.d.=54.14</t>
  </si>
  <si>
    <t>Studnia z piaskownikiem DN1500, Rz.d.=52.82</t>
  </si>
  <si>
    <t>Studnia z piaskownikiem DN1500, Rz.d.=48.35</t>
  </si>
  <si>
    <t>Studnia z piaskownikiem DN1500, Rz.d.=39.73</t>
  </si>
  <si>
    <t>Studnia z piaskownikiem DN1500, Rz.d.=56.26</t>
  </si>
  <si>
    <t>Studnia z piaskownikiem DN1500, Rz.d.=39.79</t>
  </si>
  <si>
    <t>KPED 2.16</t>
  </si>
  <si>
    <t>KPED 1.20</t>
  </si>
  <si>
    <t>Sch1</t>
  </si>
  <si>
    <t>Sch2</t>
  </si>
  <si>
    <t>Studnia chłonna</t>
  </si>
  <si>
    <t>Studnia z piaskownikiem DN1500, Rz.d.=44.79</t>
  </si>
  <si>
    <t>Studnia z piaskownikiem DN1500, Rz.d.=46.44</t>
  </si>
  <si>
    <t>Studnia betonowa DN 1500, Rz.d.=50.46</t>
  </si>
  <si>
    <t>Studnia betonowa DN 1200, Rz.d.=76.61</t>
  </si>
  <si>
    <t>Studnia z piaskownikiem DN1500, Rz.d.=57.55</t>
  </si>
  <si>
    <t>Studnia z piaskownikiem DN1500, Rz.d.=50.03</t>
  </si>
  <si>
    <t>Studnia z piaskownikiem DN1500, Rz.d.=48.34</t>
  </si>
  <si>
    <t>Studnia Kaskadowa DN1200, Rz.d.=48.95</t>
  </si>
  <si>
    <t>Studnia z piaskownikiem DN1500, Rz.d.=48.65</t>
  </si>
  <si>
    <t>Studnia z piaskownikiem DN1500, Rz.d.=52.30</t>
  </si>
  <si>
    <t>Studnia z piaskownikiem DN1500, Rz.d.=52.53</t>
  </si>
  <si>
    <t>Studnia z piaskownikiem DN1500, Rz.d.=78.80</t>
  </si>
  <si>
    <t>Studnia betonowa DN 1200, Rz.d.=39.53</t>
  </si>
  <si>
    <t>Studnia betonowa DN 1500, Rz.d.=39.54</t>
  </si>
  <si>
    <t>Studnia z piaskownikiem DN1500, Rz.d.=39.56</t>
  </si>
  <si>
    <t>Osadnik, Rz.d.=42.77</t>
  </si>
  <si>
    <t>Studnia z piaskownikiem DN1500, Rz.d.=43.78</t>
  </si>
  <si>
    <t>Studnia z piaskownikiem DN1500, Rz.d.=44.28</t>
  </si>
  <si>
    <t>Studnia z piaskownikiem DN1500, Rz.d.=45.28</t>
  </si>
  <si>
    <t>Studnia z piaskownikiem DN1500, Rz.d.=56.53</t>
  </si>
  <si>
    <t>Studnia z piaskownikiem DN1500, Rz.d.=45.50</t>
  </si>
  <si>
    <t>Studnia z piaskownikiem DN1500, Rz.d.=39.36</t>
  </si>
  <si>
    <t>rura SN10</t>
  </si>
  <si>
    <t>SN8</t>
  </si>
  <si>
    <t>SN10 od D60-D59</t>
  </si>
  <si>
    <t>SN10 odD84-D83</t>
  </si>
  <si>
    <t>Wyl428</t>
  </si>
  <si>
    <t>Wyl429</t>
  </si>
  <si>
    <t>Wyl430</t>
  </si>
  <si>
    <t>Wyl431</t>
  </si>
  <si>
    <t>Wyl432</t>
  </si>
  <si>
    <t>Wyl433</t>
  </si>
  <si>
    <t>Wyl434</t>
  </si>
  <si>
    <t>Wyl435</t>
  </si>
  <si>
    <t>Wyl436</t>
  </si>
  <si>
    <t>Wyl437</t>
  </si>
  <si>
    <t>Wyl438</t>
  </si>
  <si>
    <t>Wyl439</t>
  </si>
  <si>
    <t>Wyl440</t>
  </si>
  <si>
    <t>Wyl441</t>
  </si>
  <si>
    <t>Wyl442</t>
  </si>
  <si>
    <t>Wyl443</t>
  </si>
  <si>
    <t>Wyl444</t>
  </si>
  <si>
    <t>Wyl445</t>
  </si>
  <si>
    <t>Wyl478</t>
  </si>
  <si>
    <t>Wyl479</t>
  </si>
  <si>
    <t>Wyl480</t>
  </si>
  <si>
    <t>Wyl481</t>
  </si>
  <si>
    <t>Wyl446</t>
  </si>
  <si>
    <t>D181</t>
  </si>
  <si>
    <t>Studnia betonowa DN 1200, Rz.d.=46.38</t>
  </si>
  <si>
    <t>Studnia z piaskownikiem DN1500, Rz.d.=42.75</t>
  </si>
  <si>
    <t>Studnia z piaskownikiem DN1500, Rz.d.=82.36</t>
  </si>
  <si>
    <t>Studnia betonowa DN 1500, Rz.d.=46.17</t>
  </si>
  <si>
    <t>Studnia z piaskownikiem DN1500, Rz.d.=46.23</t>
  </si>
  <si>
    <t>Wp443</t>
  </si>
  <si>
    <t>Wp444</t>
  </si>
  <si>
    <t>Wp445</t>
  </si>
  <si>
    <t>Wp446</t>
  </si>
  <si>
    <t>Wp447</t>
  </si>
  <si>
    <t>Wp448</t>
  </si>
  <si>
    <t>Wp449</t>
  </si>
  <si>
    <t>Wp450</t>
  </si>
  <si>
    <t>Wp451</t>
  </si>
  <si>
    <t>Wp452</t>
  </si>
  <si>
    <t>Wp453</t>
  </si>
  <si>
    <t>Wp454</t>
  </si>
  <si>
    <t>Wp455</t>
  </si>
  <si>
    <t>Wp456</t>
  </si>
  <si>
    <t>Wp457</t>
  </si>
  <si>
    <t>Wp458</t>
  </si>
  <si>
    <t>Wp459</t>
  </si>
  <si>
    <t>Wp460</t>
  </si>
  <si>
    <t>Wp463</t>
  </si>
  <si>
    <t>Wp464</t>
  </si>
  <si>
    <t>Wp462</t>
  </si>
  <si>
    <t>Wp465</t>
  </si>
  <si>
    <t>Wp468</t>
  </si>
  <si>
    <t>Wp476</t>
  </si>
  <si>
    <t>Tr1</t>
  </si>
  <si>
    <t>Wp467</t>
  </si>
  <si>
    <t>Wp466</t>
  </si>
  <si>
    <t>Wp461</t>
  </si>
  <si>
    <t>Wp477</t>
  </si>
  <si>
    <t>SN10 od D32-D170</t>
  </si>
  <si>
    <t>SN10 od D77-D76</t>
  </si>
  <si>
    <t>SN10 od D81-D80</t>
  </si>
  <si>
    <t>SN10 od D116-D115</t>
  </si>
  <si>
    <t>KPED 2.19</t>
  </si>
  <si>
    <t>Studnia do wytrącania energii</t>
  </si>
  <si>
    <t>Studnia betonowa DN 1200, Rz.d.=68.43</t>
  </si>
  <si>
    <t>Studnia z piaskownikiem DN1500, Rz.d.=68.51</t>
  </si>
  <si>
    <t>Studnia z piaskownikiem DN1500, Rz.d.=68.60</t>
  </si>
  <si>
    <t>PEHD</t>
  </si>
  <si>
    <t>ścięte z umocnieniem kamiennym lub płytką chodnikową lub płytą ażurową- wg rys.</t>
  </si>
  <si>
    <t>Uwagi *</t>
  </si>
  <si>
    <t>* Uwaga: wylot do rowu melioracyjnego umocnić narzutem kamiennym zgodnie z dokumentacją projektową oraz decyzją wodnprawną</t>
  </si>
  <si>
    <t>Załącznik 5 Zestawienie zbiorcze wylotów</t>
  </si>
  <si>
    <t>Legenda</t>
  </si>
  <si>
    <t>Załącznik 4 Zestawienie zbiorcze wpustów</t>
  </si>
  <si>
    <t>Załącznik 3 Zestawienie zbiorcze studni</t>
  </si>
  <si>
    <t>Legenda:</t>
  </si>
  <si>
    <t>zegary potwierdzone</t>
  </si>
  <si>
    <t>zegary do potwierdzenia</t>
  </si>
  <si>
    <t>Łuk PE 100 SR 17 DN 250 kat 22 st</t>
  </si>
  <si>
    <t>Łuk PE 100 SDR 17 DN 250 kąt 30st</t>
  </si>
  <si>
    <t>Łuk PE 100 SDR 17 DN 250 kąt 90 st</t>
  </si>
  <si>
    <t>uszczelki PRAGMA OD DN160</t>
  </si>
  <si>
    <t>uszczelki PRAGMA OD DN200</t>
  </si>
  <si>
    <t>uszczelki PRAGMA OD DN 250</t>
  </si>
  <si>
    <t>uszczelki PRAGMA OD DN 300</t>
  </si>
  <si>
    <t xml:space="preserve">KOLANO PRAGMA 30 st OD DN 200 SN8	</t>
  </si>
  <si>
    <t>KOLANO PRAGMA OD  90 st DN250 SN 8</t>
  </si>
  <si>
    <t>Trójnik redukcyjny OD 300/300/250 SN 8</t>
  </si>
  <si>
    <t>Trójnik redukcyjny OD 200/200/160 SN 8</t>
  </si>
  <si>
    <t>Rura PE 100 SDR 17 250X14,8 prosta odcinki ZINPLAST</t>
  </si>
  <si>
    <t>PP Rura kanal. SN 8 630/6 CZ/SZ OD PRAGMA</t>
  </si>
  <si>
    <t>PP Rura kanal. SN 8 630/3 CZ/SZ OD PRAGMA - ALTERNATYWA</t>
  </si>
  <si>
    <t>PP Rura kanal. SN 8 500/6 CZ/SZ OD PRAGMA</t>
  </si>
  <si>
    <t>PP Rura kanal. SN 8 500/3 CZ/SZ OD PRAGMA - ALTERNATYWA</t>
  </si>
  <si>
    <t>PP Rura kanal. SN 10  400/6 CZ/SZ OD PRAGMA</t>
  </si>
  <si>
    <t>PP Rura kanal. SN 10  400/3 CZ/SZ OD PRAGMA - ALTERNATYWA</t>
  </si>
  <si>
    <t>PP Rura kanal. SN 8  400/6 CZ/SZ OD PRAGMA</t>
  </si>
  <si>
    <t>PP Rura kanal. SN 8  400/3 CZ/SZ OD PRAGMA - ALTERNATYWA</t>
  </si>
  <si>
    <t>PP Rura kanal. SN 10 250/6 OD PRAGMA</t>
  </si>
  <si>
    <t>PP Rura kanal. SN 10 250/3 OD PRAGMA - ALTERNATYWA</t>
  </si>
  <si>
    <t>PP Rura kanal. SN12 200/6 OD PRAGMA</t>
  </si>
  <si>
    <t>PP Rura kanal. SN 12 200/3 OD PRAGMA - ALTERNATYWA</t>
  </si>
  <si>
    <t>PP Rura kanal. SN10 200/6 OD PRAGMA</t>
  </si>
  <si>
    <t>PP Rura kanal. SN 10 200/3 OD PRAGMA - ALTERNATYWA</t>
  </si>
  <si>
    <t>PP Rura kanal. SN 10 1000/6 ID PRAGMA</t>
  </si>
  <si>
    <t>Do pełnych szt.</t>
  </si>
  <si>
    <t>Pozostałe ilości 3 m lub 6 m</t>
  </si>
  <si>
    <t>PP Rura kanal. SN 10 1000/3 ID PRAGMA</t>
  </si>
  <si>
    <t>PP Rura kanal. SN 10 500/6 CZ/SZ OD PRAGMA</t>
  </si>
  <si>
    <t>524152808, 524152814, 524152804</t>
  </si>
  <si>
    <t>26.05.2026, 26.05.2026, 28.05.2026</t>
  </si>
  <si>
    <t>PP Rura kanal. SN 8 630/3 CZ/SZ OD PRAGMA</t>
  </si>
  <si>
    <t>PP Rura kanal. SN 10 500/6 OD PRAGMA</t>
  </si>
  <si>
    <t>524152807, 524152814</t>
  </si>
  <si>
    <t>26.05.2026, 26.05.2026</t>
  </si>
  <si>
    <t>PP Rura kanal. SN 10 500/3 OD PRAGMA</t>
  </si>
  <si>
    <t>524152798, 524152809, 524152805, 524152815</t>
  </si>
  <si>
    <t>25.04.2026, 26.05.2025, 28.05.2026, 30.05.2026</t>
  </si>
  <si>
    <t>PP Rura kanal. SN 8 500/3 CZ/SZ OD PRAGMA</t>
  </si>
  <si>
    <t>Zamówienie nr 9125</t>
  </si>
  <si>
    <t>PP Rura kanal. SN 10  400/3 CZ/SZ OD PRAGMA</t>
  </si>
  <si>
    <t>PP Rura kanal. SN 8 1000/6 ID PRAGMA</t>
  </si>
  <si>
    <t>524152798, 524152815</t>
  </si>
  <si>
    <t>25.04.2026, 30.05.2026</t>
  </si>
  <si>
    <t>524152798, 524152801, 524152807, 524152802</t>
  </si>
  <si>
    <t>25.04.2026, 25.04.2026, 26.05.2026 26.05.2026</t>
  </si>
  <si>
    <t>PP Rura kanal. SN 8  400/3 CZ/SZ OD PRAGMA</t>
  </si>
  <si>
    <t>PP Rura kanal. SN 10 500/3 CZ/SZ OD PRAGMA</t>
  </si>
  <si>
    <t>PP Rura kanal. SN 8 315/6 CZ/SZ OD PRAGMA</t>
  </si>
  <si>
    <t>PP Rura kanal. SN 10 250/3 OD PRAGMA</t>
  </si>
  <si>
    <t>PP Rura kanal. SN 12 200/3 OD PRAGMA</t>
  </si>
  <si>
    <t>524152812, 524152813</t>
  </si>
  <si>
    <t>26.05.2026, 30.05.2026</t>
  </si>
  <si>
    <t>PP Rura kanal. SN 10 200/3 OD PRAGMA</t>
  </si>
  <si>
    <t>Aneks nr 1</t>
  </si>
  <si>
    <t>STUDNIE ND1500</t>
  </si>
  <si>
    <t>STUDNIE DN1200</t>
  </si>
  <si>
    <t>ILOŚCI [M]</t>
  </si>
  <si>
    <t>OPIS POZYCJI</t>
  </si>
  <si>
    <t>WZ</t>
  </si>
  <si>
    <t>DATA DOSTAWY</t>
  </si>
  <si>
    <t>DOJECHAŁO</t>
  </si>
  <si>
    <t>DŁUGOŚĆ</t>
  </si>
  <si>
    <t>studnia na budowie</t>
  </si>
  <si>
    <t>wbudowana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</si>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</sst>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name val="Calibri"/>
      <family val="2"/>
      <charset val="238"/>
    </font>
    <font>
      <sz val="11"/>
      <color rgb="FFFFFF00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11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b/>
      <sz val="15"/>
      <name val="Arial"/>
      <family val="2"/>
      <charset val="238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  <xf numFmtId="0" fontId="21" fillId="0" borderId="0"/>
    <xf numFmtId="0" fontId="21" fillId="0" borderId="0"/>
  </cellStyleXfs>
  <cellXfs count="63">
    <xf numFmtId="0" fontId="0" fillId="0" borderId="0" xfId="0"/>
    <xf numFmtId="0" fontId="18" fillId="0" borderId="0" xfId="0" applyFont="1"/>
    <xf numFmtId="0" fontId="0" fillId="33" borderId="0" xfId="0" applyFill="1"/>
    <xf numFmtId="0" fontId="14" fillId="0" borderId="0" xfId="0" applyFont="1"/>
    <xf numFmtId="0" fontId="19" fillId="0" borderId="10" xfId="0" applyFont="1" applyBorder="1" applyAlignment="1">
      <alignment horizontal="center" vertical="center"/>
    </xf>
    <xf numFmtId="0" fontId="20" fillId="0" borderId="0" xfId="0" applyFont="1"/>
    <xf numFmtId="0" fontId="18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" fontId="18" fillId="0" borderId="10" xfId="0" applyNumberFormat="1" applyFont="1" applyBorder="1"/>
    <xf numFmtId="0" fontId="18" fillId="0" borderId="10" xfId="0" quotePrefix="1" applyFont="1" applyBorder="1" applyAlignment="1">
      <alignment horizontal="center"/>
    </xf>
    <xf numFmtId="164" fontId="18" fillId="0" borderId="10" xfId="0" applyNumberFormat="1" applyFont="1" applyBorder="1"/>
    <xf numFmtId="0" fontId="18" fillId="0" borderId="10" xfId="0" applyFont="1" applyBorder="1"/>
    <xf numFmtId="0" fontId="18" fillId="0" borderId="10" xfId="0" applyFont="1" applyBorder="1" applyAlignment="1">
      <alignment horizontal="center" vertical="center"/>
    </xf>
    <xf numFmtId="0" fontId="18" fillId="0" borderId="10" xfId="0" quotePrefix="1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0" fillId="0" borderId="10" xfId="0" applyBorder="1"/>
    <xf numFmtId="1" fontId="0" fillId="0" borderId="10" xfId="0" applyNumberFormat="1" applyBorder="1"/>
    <xf numFmtId="0" fontId="18" fillId="0" borderId="0" xfId="0" applyFont="1" applyAlignment="1">
      <alignment wrapText="1"/>
    </xf>
    <xf numFmtId="0" fontId="18" fillId="34" borderId="10" xfId="0" applyFont="1" applyFill="1" applyBorder="1"/>
    <xf numFmtId="0" fontId="0" fillId="34" borderId="10" xfId="0" applyFill="1" applyBorder="1"/>
    <xf numFmtId="0" fontId="18" fillId="34" borderId="0" xfId="0" applyFont="1" applyFill="1"/>
    <xf numFmtId="0" fontId="18" fillId="35" borderId="0" xfId="0" applyFont="1" applyFill="1"/>
    <xf numFmtId="0" fontId="21" fillId="0" borderId="0" xfId="42"/>
    <xf numFmtId="0" fontId="22" fillId="0" borderId="0" xfId="43" applyFont="1" applyAlignment="1">
      <alignment horizontal="center"/>
    </xf>
    <xf numFmtId="0" fontId="23" fillId="0" borderId="0" xfId="43" applyFont="1"/>
    <xf numFmtId="0" fontId="22" fillId="0" borderId="0" xfId="43" applyFont="1"/>
    <xf numFmtId="0" fontId="22" fillId="0" borderId="0" xfId="44" applyFont="1" applyAlignment="1">
      <alignment horizontal="center"/>
    </xf>
    <xf numFmtId="0" fontId="23" fillId="0" borderId="0" xfId="44" applyFont="1"/>
    <xf numFmtId="0" fontId="24" fillId="0" borderId="0" xfId="44" applyFont="1" applyAlignment="1">
      <alignment horizontal="center"/>
    </xf>
    <xf numFmtId="0" fontId="25" fillId="0" borderId="0" xfId="44" applyFont="1"/>
    <xf numFmtId="4" fontId="24" fillId="36" borderId="10" xfId="42" applyNumberFormat="1" applyFont="1" applyFill="1" applyBorder="1" applyAlignment="1">
      <alignment horizontal="center" vertical="center"/>
    </xf>
    <xf numFmtId="0" fontId="24" fillId="36" borderId="10" xfId="42" applyFont="1" applyFill="1" applyBorder="1" applyAlignment="1">
      <alignment horizontal="left" vertical="center" wrapText="1"/>
    </xf>
    <xf numFmtId="0" fontId="25" fillId="0" borderId="0" xfId="42" applyFont="1"/>
    <xf numFmtId="4" fontId="25" fillId="0" borderId="0" xfId="42" applyNumberFormat="1" applyFont="1"/>
    <xf numFmtId="4" fontId="25" fillId="36" borderId="0" xfId="42" applyNumberFormat="1" applyFont="1" applyFill="1" applyAlignment="1">
      <alignment horizontal="right" vertical="center"/>
    </xf>
    <xf numFmtId="4" fontId="25" fillId="36" borderId="10" xfId="42" applyNumberFormat="1" applyFont="1" applyFill="1" applyBorder="1" applyAlignment="1">
      <alignment horizontal="center" vertical="center"/>
    </xf>
    <xf numFmtId="0" fontId="25" fillId="36" borderId="10" xfId="42" applyFont="1" applyFill="1" applyBorder="1" applyAlignment="1">
      <alignment horizontal="left" vertical="center" wrapText="1"/>
    </xf>
    <xf numFmtId="0" fontId="25" fillId="0" borderId="10" xfId="42" applyFont="1" applyBorder="1" applyAlignment="1">
      <alignment horizontal="center" vertical="center"/>
    </xf>
    <xf numFmtId="14" fontId="21" fillId="0" borderId="10" xfId="42" applyNumberFormat="1" applyBorder="1" applyAlignment="1">
      <alignment horizontal="center" vertical="center"/>
    </xf>
    <xf numFmtId="0" fontId="25" fillId="34" borderId="10" xfId="42" applyFont="1" applyFill="1" applyBorder="1" applyAlignment="1">
      <alignment horizontal="center" vertical="center"/>
    </xf>
    <xf numFmtId="3" fontId="26" fillId="37" borderId="10" xfId="43" applyNumberFormat="1" applyFont="1" applyFill="1" applyBorder="1" applyAlignment="1">
      <alignment vertical="center"/>
    </xf>
    <xf numFmtId="3" fontId="22" fillId="37" borderId="10" xfId="43" applyNumberFormat="1" applyFont="1" applyFill="1" applyBorder="1" applyAlignment="1">
      <alignment vertical="center"/>
    </xf>
    <xf numFmtId="0" fontId="21" fillId="0" borderId="10" xfId="42" applyBorder="1" applyAlignment="1">
      <alignment horizontal="center" vertical="center"/>
    </xf>
    <xf numFmtId="0" fontId="21" fillId="34" borderId="10" xfId="42" applyFill="1" applyBorder="1" applyAlignment="1">
      <alignment horizontal="center" vertical="center"/>
    </xf>
    <xf numFmtId="4" fontId="24" fillId="34" borderId="10" xfId="42" applyNumberFormat="1" applyFont="1" applyFill="1" applyBorder="1" applyAlignment="1">
      <alignment horizontal="center" vertical="center"/>
    </xf>
    <xf numFmtId="0" fontId="24" fillId="34" borderId="10" xfId="42" applyFont="1" applyFill="1" applyBorder="1" applyAlignment="1">
      <alignment horizontal="left" vertical="center" wrapText="1"/>
    </xf>
    <xf numFmtId="0" fontId="25" fillId="0" borderId="10" xfId="42" applyFont="1" applyBorder="1" applyAlignment="1">
      <alignment horizontal="center" vertical="center" wrapText="1"/>
    </xf>
    <xf numFmtId="14" fontId="21" fillId="0" borderId="10" xfId="42" applyNumberFormat="1" applyBorder="1" applyAlignment="1">
      <alignment horizontal="center" vertical="center" wrapText="1"/>
    </xf>
    <xf numFmtId="0" fontId="21" fillId="0" borderId="10" xfId="42" applyBorder="1" applyAlignment="1">
      <alignment horizontal="center" vertical="center" wrapText="1"/>
    </xf>
    <xf numFmtId="3" fontId="27" fillId="37" borderId="10" xfId="43" applyNumberFormat="1" applyFont="1" applyFill="1" applyBorder="1" applyAlignment="1">
      <alignment vertical="center"/>
    </xf>
    <xf numFmtId="0" fontId="28" fillId="37" borderId="10" xfId="42" applyFont="1" applyFill="1" applyBorder="1" applyAlignment="1">
      <alignment horizontal="center" vertical="center"/>
    </xf>
    <xf numFmtId="2" fontId="22" fillId="37" borderId="10" xfId="43" applyNumberFormat="1" applyFont="1" applyFill="1" applyBorder="1" applyAlignment="1">
      <alignment horizontal="center" vertical="center" wrapText="1"/>
    </xf>
    <xf numFmtId="0" fontId="22" fillId="37" borderId="10" xfId="43" applyFont="1" applyFill="1" applyBorder="1" applyAlignment="1">
      <alignment horizontal="center" vertical="center"/>
    </xf>
    <xf numFmtId="0" fontId="18" fillId="38" borderId="0" xfId="0" applyFont="1" applyFill="1"/>
    <xf numFmtId="0" fontId="18" fillId="39" borderId="0" xfId="0" applyFont="1" applyFill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left" vertical="center"/>
    </xf>
    <xf numFmtId="0" fontId="18" fillId="0" borderId="0" xfId="0" applyFont="1" applyAlignment="1" applyProtection="1">
      <alignment horizontal="center"/>
      <protection locked="0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45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 2" xfId="43" xr:uid="{B046E504-F94A-4E4F-853F-98D5D30CB6DD}"/>
    <cellStyle name="Normalny" xfId="0" builtinId="0"/>
    <cellStyle name="Normalny 13" xfId="44" xr:uid="{39EE3806-96C2-4745-9151-C063DBE68AC6}"/>
    <cellStyle name="Normalny 2" xfId="42" xr:uid="{BF1652F3-B115-4E9C-9223-555101C1882C}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190501</xdr:colOff>
      <xdr:row>461</xdr:row>
      <xdr:rowOff>145677</xdr:rowOff>
    </xdr:from>
    <xdr:to>
      <xdr:col>18</xdr:col>
      <xdr:colOff>51718</xdr:colOff>
      <xdr:row>489</xdr:row>
      <xdr:rowOff>13053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266" y="87977383"/>
          <a:ext cx="9240540" cy="5201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199"/>
  <sheetViews>
    <sheetView tabSelected="1" topLeftCell="A91" zoomScale="70" zoomScaleNormal="70" workbookViewId="0">
      <selection activeCell="F108" sqref="F108"/>
    </sheetView>
  </sheetViews>
  <sheetFormatPr defaultRowHeight="14.4" x14ac:dyDescent="0.3"/>
  <cols>
    <col min="1" max="3" width="9.109375" style="1"/>
    <col min="4" max="4" width="43.33203125" style="1" customWidth="1"/>
    <col min="5" max="19" width="9.109375" style="1" customWidth="1"/>
    <col min="20" max="20" width="9.109375" style="7"/>
    <col min="21" max="21" width="13" style="1" bestFit="1" customWidth="1"/>
    <col min="22" max="22" width="20.33203125" style="1" customWidth="1"/>
    <col min="23" max="23" width="9.109375" style="1"/>
    <col min="24" max="24" width="15.6640625" customWidth="1"/>
    <col min="25" max="62" width="9.109375"/>
  </cols>
  <sheetData>
    <row r="1" spans="2:22" x14ac:dyDescent="0.3">
      <c r="B1"/>
      <c r="C1"/>
      <c r="D1"/>
      <c r="E1"/>
      <c r="F1"/>
      <c r="G1"/>
      <c r="H1"/>
    </row>
    <row r="2" spans="2:22" x14ac:dyDescent="0.3">
      <c r="B2"/>
      <c r="C2"/>
      <c r="D2"/>
      <c r="E2"/>
      <c r="F2"/>
      <c r="G2"/>
      <c r="H2"/>
      <c r="I2"/>
    </row>
    <row r="3" spans="2:22" x14ac:dyDescent="0.3">
      <c r="B3"/>
      <c r="C3"/>
      <c r="D3"/>
      <c r="E3"/>
      <c r="F3"/>
      <c r="G3"/>
      <c r="H3"/>
      <c r="I3"/>
    </row>
    <row r="4" spans="2:22" x14ac:dyDescent="0.3">
      <c r="B4" s="62" t="s">
        <v>1300</v>
      </c>
      <c r="C4" s="62"/>
      <c r="D4"/>
      <c r="E4"/>
      <c r="F4"/>
      <c r="G4"/>
      <c r="H4"/>
      <c r="I4"/>
    </row>
    <row r="5" spans="2:22" x14ac:dyDescent="0.3">
      <c r="B5" s="60" t="s">
        <v>1028</v>
      </c>
      <c r="C5" s="60"/>
      <c r="D5" s="60"/>
      <c r="E5" s="59" t="s">
        <v>732</v>
      </c>
      <c r="F5" s="59"/>
      <c r="G5" s="59"/>
      <c r="H5" s="59"/>
      <c r="I5"/>
    </row>
    <row r="6" spans="2:22" x14ac:dyDescent="0.3">
      <c r="B6" s="60" t="s">
        <v>727</v>
      </c>
      <c r="C6" s="60"/>
      <c r="D6" s="60"/>
      <c r="E6" s="59" t="s">
        <v>733</v>
      </c>
      <c r="F6" s="59"/>
      <c r="G6" s="59"/>
      <c r="H6" s="59"/>
      <c r="I6"/>
    </row>
    <row r="7" spans="2:22" x14ac:dyDescent="0.3">
      <c r="B7" s="60" t="s">
        <v>728</v>
      </c>
      <c r="C7" s="60"/>
      <c r="D7" s="60"/>
      <c r="E7" s="59" t="s">
        <v>734</v>
      </c>
      <c r="F7" s="59"/>
      <c r="G7" s="59"/>
      <c r="H7" s="59"/>
      <c r="I7"/>
    </row>
    <row r="8" spans="2:22" x14ac:dyDescent="0.3">
      <c r="B8" s="60" t="s">
        <v>729</v>
      </c>
      <c r="C8" s="60"/>
      <c r="D8" s="60"/>
      <c r="E8" s="59" t="s">
        <v>735</v>
      </c>
      <c r="F8" s="59"/>
      <c r="G8" s="59"/>
      <c r="H8" s="59"/>
      <c r="I8"/>
    </row>
    <row r="9" spans="2:22" x14ac:dyDescent="0.3">
      <c r="B9" s="61" t="s">
        <v>725</v>
      </c>
      <c r="C9" s="61"/>
      <c r="D9" s="61"/>
      <c r="E9" s="59" t="s">
        <v>736</v>
      </c>
      <c r="F9" s="59"/>
      <c r="G9" s="59"/>
      <c r="H9" s="59"/>
      <c r="I9"/>
    </row>
    <row r="10" spans="2:22" x14ac:dyDescent="0.3">
      <c r="B10" s="61" t="s">
        <v>726</v>
      </c>
      <c r="C10" s="61"/>
      <c r="D10" s="61"/>
      <c r="E10" s="59" t="s">
        <v>737</v>
      </c>
      <c r="F10" s="59"/>
      <c r="G10" s="59"/>
      <c r="H10" s="59"/>
      <c r="I10"/>
    </row>
    <row r="11" spans="2:22" x14ac:dyDescent="0.3">
      <c r="B11" s="59" t="s">
        <v>730</v>
      </c>
      <c r="C11" s="59"/>
      <c r="D11" s="59"/>
      <c r="E11" s="60" t="s">
        <v>1029</v>
      </c>
      <c r="F11" s="60"/>
      <c r="G11" s="60"/>
      <c r="H11" s="60"/>
      <c r="I11"/>
    </row>
    <row r="12" spans="2:22" x14ac:dyDescent="0.3">
      <c r="B12" s="59" t="s">
        <v>731</v>
      </c>
      <c r="C12" s="59"/>
      <c r="D12" s="59"/>
      <c r="E12" s="60" t="s">
        <v>1030</v>
      </c>
      <c r="F12" s="60"/>
      <c r="G12" s="60"/>
      <c r="H12" s="60"/>
      <c r="I12"/>
    </row>
    <row r="13" spans="2:22" x14ac:dyDescent="0.3">
      <c r="B13"/>
      <c r="E13" s="60" t="s">
        <v>1031</v>
      </c>
      <c r="F13" s="60"/>
      <c r="G13" s="60"/>
      <c r="H13" s="60"/>
    </row>
    <row r="15" spans="2:22" x14ac:dyDescent="0.3">
      <c r="B15" s="58" t="s">
        <v>1299</v>
      </c>
      <c r="C15" s="58"/>
      <c r="D15" s="58"/>
      <c r="E15" s="58"/>
      <c r="F15" s="58"/>
      <c r="G15" s="58"/>
      <c r="H15" s="58"/>
    </row>
    <row r="16" spans="2:22" ht="43.2" x14ac:dyDescent="0.3">
      <c r="B16" s="11" t="s">
        <v>0</v>
      </c>
      <c r="C16" s="11" t="s">
        <v>2</v>
      </c>
      <c r="D16" s="11" t="s">
        <v>3</v>
      </c>
      <c r="E16" s="11" t="s">
        <v>1</v>
      </c>
      <c r="F16" s="11" t="s">
        <v>717</v>
      </c>
      <c r="G16" s="11" t="s">
        <v>718</v>
      </c>
      <c r="H16" s="11" t="s">
        <v>719</v>
      </c>
      <c r="I16" s="11" t="s">
        <v>720</v>
      </c>
      <c r="J16" s="11" t="s">
        <v>723</v>
      </c>
      <c r="K16" s="11" t="s">
        <v>721</v>
      </c>
      <c r="L16" s="11" t="s">
        <v>724</v>
      </c>
      <c r="M16" s="11" t="s">
        <v>1021</v>
      </c>
      <c r="N16" s="11" t="s">
        <v>1022</v>
      </c>
      <c r="O16" s="11" t="s">
        <v>1023</v>
      </c>
      <c r="P16" s="11" t="s">
        <v>1024</v>
      </c>
      <c r="Q16" s="11" t="s">
        <v>1025</v>
      </c>
      <c r="R16" s="11" t="s">
        <v>72</v>
      </c>
      <c r="S16" s="11" t="s">
        <v>1026</v>
      </c>
      <c r="T16" s="6" t="s">
        <v>1169</v>
      </c>
      <c r="U16" s="6" t="s">
        <v>1170</v>
      </c>
      <c r="V16" s="11" t="s">
        <v>1027</v>
      </c>
    </row>
    <row r="17" spans="1:24" x14ac:dyDescent="0.3">
      <c r="B17" s="11" t="s">
        <v>720</v>
      </c>
      <c r="C17" s="11">
        <v>1.2</v>
      </c>
      <c r="D17" s="11" t="s">
        <v>741</v>
      </c>
      <c r="E17" s="11">
        <v>44.26</v>
      </c>
      <c r="F17" s="11">
        <v>44.26</v>
      </c>
      <c r="G17" s="11">
        <v>42.17</v>
      </c>
      <c r="H17" s="11">
        <v>2.09</v>
      </c>
      <c r="I17" s="11">
        <v>400</v>
      </c>
      <c r="J17" s="11">
        <v>42.67</v>
      </c>
      <c r="K17" s="11">
        <v>400</v>
      </c>
      <c r="L17" s="11">
        <v>42.67</v>
      </c>
      <c r="M17" s="11">
        <v>200</v>
      </c>
      <c r="N17" s="11">
        <v>42.79</v>
      </c>
      <c r="O17" s="11"/>
      <c r="P17" s="11"/>
      <c r="Q17" s="8">
        <v>162.5</v>
      </c>
      <c r="R17" s="8">
        <v>115</v>
      </c>
      <c r="S17" s="11"/>
      <c r="T17" s="12"/>
      <c r="U17" s="11"/>
      <c r="V17" s="11" t="s">
        <v>1222</v>
      </c>
      <c r="W17" s="20"/>
      <c r="X17" t="s">
        <v>1301</v>
      </c>
    </row>
    <row r="18" spans="1:24" x14ac:dyDescent="0.3">
      <c r="B18" s="11" t="s">
        <v>742</v>
      </c>
      <c r="C18" s="11">
        <v>2.5</v>
      </c>
      <c r="D18" s="11" t="s">
        <v>743</v>
      </c>
      <c r="E18" s="11">
        <v>44.49</v>
      </c>
      <c r="F18" s="11">
        <v>44.49</v>
      </c>
      <c r="G18" s="11">
        <v>41.91</v>
      </c>
      <c r="H18" s="11">
        <v>2.58</v>
      </c>
      <c r="I18" s="11">
        <v>600</v>
      </c>
      <c r="J18" s="11">
        <v>43.41</v>
      </c>
      <c r="K18" s="11">
        <v>600</v>
      </c>
      <c r="L18" s="11">
        <v>43.41</v>
      </c>
      <c r="M18" s="11"/>
      <c r="N18" s="11"/>
      <c r="O18" s="11"/>
      <c r="P18" s="11"/>
      <c r="Q18" s="8">
        <v>180.3</v>
      </c>
      <c r="R18" s="8"/>
      <c r="S18" s="11"/>
      <c r="T18" s="12"/>
      <c r="U18" s="11"/>
      <c r="V18" s="11" t="s">
        <v>1222</v>
      </c>
      <c r="W18" s="21"/>
      <c r="X18" t="s">
        <v>1302</v>
      </c>
    </row>
    <row r="19" spans="1:24" x14ac:dyDescent="0.3">
      <c r="B19" s="11" t="s">
        <v>721</v>
      </c>
      <c r="C19" s="11">
        <v>1.5</v>
      </c>
      <c r="D19" s="11" t="s">
        <v>744</v>
      </c>
      <c r="E19" s="11">
        <v>44.61</v>
      </c>
      <c r="F19" s="11">
        <v>44.61</v>
      </c>
      <c r="G19" s="11">
        <v>42.93</v>
      </c>
      <c r="H19" s="11">
        <v>1.68</v>
      </c>
      <c r="I19" s="11">
        <v>600</v>
      </c>
      <c r="J19" s="11">
        <v>43.43</v>
      </c>
      <c r="K19" s="11">
        <v>600</v>
      </c>
      <c r="L19" s="11">
        <v>43.43</v>
      </c>
      <c r="M19" s="11"/>
      <c r="N19" s="11"/>
      <c r="O19" s="11"/>
      <c r="P19" s="11"/>
      <c r="Q19" s="8">
        <v>242.1</v>
      </c>
      <c r="R19" s="8"/>
      <c r="S19" s="11"/>
      <c r="T19" s="12"/>
      <c r="U19" s="11"/>
      <c r="V19" s="11" t="s">
        <v>1222</v>
      </c>
      <c r="W19" s="54"/>
      <c r="X19" t="s">
        <v>1368</v>
      </c>
    </row>
    <row r="20" spans="1:24" x14ac:dyDescent="0.3">
      <c r="B20" s="11" t="s">
        <v>745</v>
      </c>
      <c r="C20" s="11">
        <v>1.5</v>
      </c>
      <c r="D20" s="11" t="s">
        <v>746</v>
      </c>
      <c r="E20" s="11">
        <v>44.54</v>
      </c>
      <c r="F20" s="11">
        <v>44.54</v>
      </c>
      <c r="G20" s="11">
        <v>42.96</v>
      </c>
      <c r="H20" s="11">
        <v>1.58</v>
      </c>
      <c r="I20" s="11">
        <v>600</v>
      </c>
      <c r="J20" s="11">
        <v>43.46</v>
      </c>
      <c r="K20" s="11">
        <v>600</v>
      </c>
      <c r="L20" s="11">
        <v>43.46</v>
      </c>
      <c r="M20" s="11">
        <v>400</v>
      </c>
      <c r="N20" s="11">
        <v>43.46</v>
      </c>
      <c r="O20" s="11"/>
      <c r="P20" s="11"/>
      <c r="Q20" s="8">
        <v>126.9</v>
      </c>
      <c r="R20" s="8">
        <v>195.8</v>
      </c>
      <c r="S20" s="8"/>
      <c r="T20" s="12">
        <v>43.49</v>
      </c>
      <c r="U20" s="11">
        <v>1</v>
      </c>
      <c r="V20" s="11" t="s">
        <v>1222</v>
      </c>
      <c r="W20" s="53"/>
      <c r="X20" t="s">
        <v>1369</v>
      </c>
    </row>
    <row r="21" spans="1:24" x14ac:dyDescent="0.3">
      <c r="B21" s="11" t="s">
        <v>747</v>
      </c>
      <c r="C21" s="11">
        <v>1.5</v>
      </c>
      <c r="D21" s="11" t="s">
        <v>748</v>
      </c>
      <c r="E21" s="11">
        <v>44.81</v>
      </c>
      <c r="F21" s="11">
        <v>44.81</v>
      </c>
      <c r="G21" s="11">
        <v>42.97</v>
      </c>
      <c r="H21" s="11">
        <v>1.84</v>
      </c>
      <c r="I21" s="11">
        <v>600</v>
      </c>
      <c r="J21" s="11">
        <v>43.47</v>
      </c>
      <c r="K21" s="11">
        <v>600</v>
      </c>
      <c r="L21" s="11">
        <v>43.47</v>
      </c>
      <c r="M21" s="11"/>
      <c r="N21" s="11"/>
      <c r="O21" s="11"/>
      <c r="P21" s="11"/>
      <c r="Q21" s="8">
        <v>261.39999999999998</v>
      </c>
      <c r="R21" s="8"/>
      <c r="S21" s="8"/>
      <c r="T21" s="12">
        <v>43.59</v>
      </c>
      <c r="U21" s="11">
        <v>1</v>
      </c>
      <c r="V21" s="11" t="s">
        <v>1222</v>
      </c>
    </row>
    <row r="22" spans="1:24" x14ac:dyDescent="0.3">
      <c r="B22" s="11" t="s">
        <v>749</v>
      </c>
      <c r="C22" s="11">
        <v>1.5</v>
      </c>
      <c r="D22" s="11" t="s">
        <v>750</v>
      </c>
      <c r="E22" s="11">
        <v>44.7</v>
      </c>
      <c r="F22" s="11">
        <v>44.7</v>
      </c>
      <c r="G22" s="11">
        <v>43.01</v>
      </c>
      <c r="H22" s="11">
        <v>1.69</v>
      </c>
      <c r="I22" s="11">
        <v>600</v>
      </c>
      <c r="J22" s="11">
        <v>43.51</v>
      </c>
      <c r="K22" s="11"/>
      <c r="L22" s="11"/>
      <c r="M22" s="11"/>
      <c r="N22" s="11"/>
      <c r="O22" s="11"/>
      <c r="P22" s="11"/>
      <c r="Q22" s="8"/>
      <c r="R22" s="8"/>
      <c r="S22" s="8"/>
      <c r="T22" s="12">
        <v>43.99</v>
      </c>
      <c r="U22" s="11">
        <v>2</v>
      </c>
      <c r="V22" s="11" t="s">
        <v>1222</v>
      </c>
    </row>
    <row r="23" spans="1:24" x14ac:dyDescent="0.3">
      <c r="B23" s="11" t="s">
        <v>752</v>
      </c>
      <c r="C23" s="11">
        <v>1.5</v>
      </c>
      <c r="D23" s="11" t="s">
        <v>1179</v>
      </c>
      <c r="E23" s="11">
        <v>44.42</v>
      </c>
      <c r="F23" s="11">
        <v>44.42</v>
      </c>
      <c r="G23" s="11">
        <v>43.02</v>
      </c>
      <c r="H23" s="11">
        <v>1.4</v>
      </c>
      <c r="I23" s="11">
        <v>400</v>
      </c>
      <c r="J23" s="11">
        <v>43.52</v>
      </c>
      <c r="K23" s="11">
        <v>200</v>
      </c>
      <c r="L23" s="11">
        <v>43.52</v>
      </c>
      <c r="M23" s="11"/>
      <c r="N23" s="11"/>
      <c r="O23" s="11"/>
      <c r="P23" s="11"/>
      <c r="Q23" s="8">
        <v>69.2</v>
      </c>
      <c r="R23" s="8"/>
      <c r="S23" s="8"/>
      <c r="T23" s="12">
        <v>43.61</v>
      </c>
      <c r="U23" s="11">
        <v>1</v>
      </c>
      <c r="V23" s="11" t="s">
        <v>1222</v>
      </c>
    </row>
    <row r="24" spans="1:24" x14ac:dyDescent="0.3">
      <c r="B24" s="15" t="s">
        <v>9</v>
      </c>
      <c r="C24" s="15">
        <v>1.5</v>
      </c>
      <c r="D24" s="15" t="s">
        <v>1180</v>
      </c>
      <c r="E24" s="15">
        <v>45.78</v>
      </c>
      <c r="F24" s="15">
        <v>45.78</v>
      </c>
      <c r="G24" s="15">
        <v>44.33</v>
      </c>
      <c r="H24" s="15">
        <v>1.45</v>
      </c>
      <c r="I24" s="15">
        <v>500</v>
      </c>
      <c r="J24" s="15">
        <v>44.83</v>
      </c>
      <c r="K24" s="15"/>
      <c r="L24" s="15"/>
      <c r="M24" s="15"/>
      <c r="N24" s="15"/>
      <c r="O24" s="15"/>
      <c r="P24" s="15"/>
      <c r="Q24" s="15"/>
      <c r="R24" s="15"/>
      <c r="S24" s="15"/>
      <c r="T24" s="12">
        <v>44.9</v>
      </c>
      <c r="U24" s="11">
        <v>2</v>
      </c>
      <c r="V24" s="11" t="s">
        <v>1222</v>
      </c>
    </row>
    <row r="25" spans="1:24" x14ac:dyDescent="0.3">
      <c r="A25" s="53"/>
      <c r="B25" s="18" t="s">
        <v>753</v>
      </c>
      <c r="C25" s="11">
        <v>1.5</v>
      </c>
      <c r="D25" s="11" t="s">
        <v>1252</v>
      </c>
      <c r="E25" s="11">
        <v>48.21</v>
      </c>
      <c r="F25" s="11">
        <v>48.21</v>
      </c>
      <c r="G25" s="11">
        <v>46.17</v>
      </c>
      <c r="H25" s="11">
        <v>2.04</v>
      </c>
      <c r="I25" s="11">
        <v>500</v>
      </c>
      <c r="J25" s="11">
        <v>46.67</v>
      </c>
      <c r="K25" s="11">
        <v>500</v>
      </c>
      <c r="L25" s="11">
        <v>46.67</v>
      </c>
      <c r="M25" s="11">
        <v>200</v>
      </c>
      <c r="N25" s="11">
        <v>46.67</v>
      </c>
      <c r="O25" s="11">
        <v>200</v>
      </c>
      <c r="P25" s="11">
        <v>46.67</v>
      </c>
      <c r="Q25" s="8">
        <v>197</v>
      </c>
      <c r="R25" s="8">
        <v>32</v>
      </c>
      <c r="S25" s="8">
        <v>253.4</v>
      </c>
      <c r="T25" s="12"/>
      <c r="U25" s="11"/>
      <c r="V25" s="11" t="s">
        <v>1222</v>
      </c>
    </row>
    <row r="26" spans="1:24" x14ac:dyDescent="0.3">
      <c r="A26" s="53"/>
      <c r="B26" s="18" t="s">
        <v>754</v>
      </c>
      <c r="C26" s="11">
        <v>1.5</v>
      </c>
      <c r="D26" s="11" t="s">
        <v>1253</v>
      </c>
      <c r="E26" s="11">
        <v>48.59</v>
      </c>
      <c r="F26" s="11">
        <v>48.59</v>
      </c>
      <c r="G26" s="11">
        <v>46.23</v>
      </c>
      <c r="H26" s="11">
        <v>2.36</v>
      </c>
      <c r="I26" s="11">
        <v>500</v>
      </c>
      <c r="J26" s="11">
        <v>46.73</v>
      </c>
      <c r="K26" s="11">
        <v>500</v>
      </c>
      <c r="L26" s="11">
        <v>46.73</v>
      </c>
      <c r="M26" s="11"/>
      <c r="N26" s="11"/>
      <c r="O26" s="11"/>
      <c r="P26" s="11"/>
      <c r="Q26" s="8">
        <v>256.2</v>
      </c>
      <c r="R26" s="8"/>
      <c r="S26" s="8"/>
      <c r="T26" s="12">
        <v>46.97</v>
      </c>
      <c r="U26" s="11">
        <v>1</v>
      </c>
      <c r="V26" s="11" t="s">
        <v>1222</v>
      </c>
    </row>
    <row r="27" spans="1:24" x14ac:dyDescent="0.3">
      <c r="A27" s="54"/>
      <c r="B27" s="18" t="s">
        <v>755</v>
      </c>
      <c r="C27" s="11">
        <v>1.5</v>
      </c>
      <c r="D27" s="11" t="s">
        <v>875</v>
      </c>
      <c r="E27" s="11">
        <v>48.26</v>
      </c>
      <c r="F27" s="11">
        <v>48.26</v>
      </c>
      <c r="G27" s="11">
        <v>46.35</v>
      </c>
      <c r="H27" s="11">
        <v>1.91</v>
      </c>
      <c r="I27" s="11">
        <v>500</v>
      </c>
      <c r="J27" s="11">
        <v>46.85</v>
      </c>
      <c r="K27" s="11">
        <v>200</v>
      </c>
      <c r="L27" s="11">
        <v>47.15</v>
      </c>
      <c r="M27" s="11"/>
      <c r="N27" s="11"/>
      <c r="O27" s="11"/>
      <c r="P27" s="11"/>
      <c r="Q27" s="8">
        <v>269.89999999999998</v>
      </c>
      <c r="R27" s="8"/>
      <c r="S27" s="8"/>
      <c r="T27" s="12">
        <v>47.43</v>
      </c>
      <c r="U27" s="11">
        <v>1</v>
      </c>
      <c r="V27" s="11" t="s">
        <v>1222</v>
      </c>
    </row>
    <row r="28" spans="1:24" s="1" customFormat="1" x14ac:dyDescent="0.3">
      <c r="B28" s="15" t="s">
        <v>12</v>
      </c>
      <c r="C28" s="15">
        <v>1.5</v>
      </c>
      <c r="D28" s="15" t="s">
        <v>1199</v>
      </c>
      <c r="E28" s="15">
        <v>47</v>
      </c>
      <c r="F28" s="15">
        <v>47</v>
      </c>
      <c r="G28" s="15">
        <v>44.79</v>
      </c>
      <c r="H28" s="15">
        <v>2.21</v>
      </c>
      <c r="I28" s="15">
        <v>400</v>
      </c>
      <c r="J28" s="15">
        <v>45.29</v>
      </c>
      <c r="K28" s="15"/>
      <c r="L28" s="15"/>
      <c r="M28" s="15"/>
      <c r="N28" s="15"/>
      <c r="O28" s="15"/>
      <c r="P28" s="15"/>
      <c r="Q28" s="15"/>
      <c r="R28" s="15"/>
      <c r="S28" s="8"/>
      <c r="T28" s="12">
        <v>45.29</v>
      </c>
      <c r="U28" s="11">
        <v>1</v>
      </c>
      <c r="V28" s="11" t="s">
        <v>1222</v>
      </c>
    </row>
    <row r="29" spans="1:24" x14ac:dyDescent="0.3">
      <c r="A29" s="54"/>
      <c r="B29" s="18" t="s">
        <v>756</v>
      </c>
      <c r="C29" s="11">
        <v>1.5</v>
      </c>
      <c r="D29" s="11" t="s">
        <v>1200</v>
      </c>
      <c r="E29" s="11">
        <v>48.05</v>
      </c>
      <c r="F29" s="11">
        <v>48.05</v>
      </c>
      <c r="G29" s="11">
        <v>46.44</v>
      </c>
      <c r="H29" s="11">
        <v>1.61</v>
      </c>
      <c r="I29" s="11">
        <v>500</v>
      </c>
      <c r="J29" s="11">
        <v>46.94</v>
      </c>
      <c r="K29" s="11">
        <v>500</v>
      </c>
      <c r="L29" s="11">
        <v>46.94</v>
      </c>
      <c r="M29" s="11"/>
      <c r="N29" s="11"/>
      <c r="O29" s="11"/>
      <c r="P29" s="11"/>
      <c r="Q29" s="8">
        <v>180</v>
      </c>
      <c r="R29" s="8"/>
      <c r="S29" s="8"/>
      <c r="T29" s="12">
        <v>46.94</v>
      </c>
      <c r="U29" s="11">
        <v>2</v>
      </c>
      <c r="V29" s="11" t="s">
        <v>1222</v>
      </c>
    </row>
    <row r="30" spans="1:24" x14ac:dyDescent="0.3">
      <c r="A30" s="54"/>
      <c r="B30" s="18" t="s">
        <v>757</v>
      </c>
      <c r="C30" s="11">
        <v>1.5</v>
      </c>
      <c r="D30" s="11" t="s">
        <v>758</v>
      </c>
      <c r="E30" s="11">
        <v>48.56</v>
      </c>
      <c r="F30" s="11">
        <v>48.56</v>
      </c>
      <c r="G30" s="11">
        <v>46.87</v>
      </c>
      <c r="H30" s="11">
        <v>1.69</v>
      </c>
      <c r="I30" s="11">
        <v>500</v>
      </c>
      <c r="J30" s="11">
        <v>47.37</v>
      </c>
      <c r="K30" s="11"/>
      <c r="L30" s="11"/>
      <c r="M30" s="11"/>
      <c r="N30" s="11"/>
      <c r="O30" s="11"/>
      <c r="P30" s="11"/>
      <c r="Q30" s="8"/>
      <c r="R30" s="8"/>
      <c r="S30" s="11"/>
      <c r="T30" s="12">
        <v>47.37</v>
      </c>
      <c r="U30" s="11">
        <v>2</v>
      </c>
      <c r="V30" s="11" t="s">
        <v>1222</v>
      </c>
    </row>
    <row r="31" spans="1:24" x14ac:dyDescent="0.3">
      <c r="B31" s="18" t="s">
        <v>759</v>
      </c>
      <c r="C31" s="11">
        <v>1.2</v>
      </c>
      <c r="D31" s="11" t="s">
        <v>760</v>
      </c>
      <c r="E31" s="11">
        <v>48.9</v>
      </c>
      <c r="F31" s="11">
        <v>48.9</v>
      </c>
      <c r="G31" s="11">
        <v>46.22</v>
      </c>
      <c r="H31" s="11">
        <v>2.68</v>
      </c>
      <c r="I31" s="11">
        <v>600</v>
      </c>
      <c r="J31" s="11">
        <v>47.72</v>
      </c>
      <c r="K31" s="11">
        <v>600</v>
      </c>
      <c r="L31" s="11">
        <v>47.72</v>
      </c>
      <c r="M31" s="11"/>
      <c r="N31" s="11"/>
      <c r="O31" s="11"/>
      <c r="P31" s="11"/>
      <c r="Q31" s="8">
        <v>90.5</v>
      </c>
      <c r="R31" s="8"/>
      <c r="S31" s="11"/>
      <c r="T31" s="12"/>
      <c r="U31" s="11"/>
      <c r="V31" s="11" t="s">
        <v>1222</v>
      </c>
    </row>
    <row r="32" spans="1:24" x14ac:dyDescent="0.3">
      <c r="A32" s="54"/>
      <c r="B32" s="18" t="s">
        <v>761</v>
      </c>
      <c r="C32" s="11">
        <v>1.5</v>
      </c>
      <c r="D32" s="11" t="s">
        <v>762</v>
      </c>
      <c r="E32" s="11">
        <v>48.98</v>
      </c>
      <c r="F32" s="11">
        <v>48.98</v>
      </c>
      <c r="G32" s="11">
        <v>47.26</v>
      </c>
      <c r="H32" s="11">
        <v>1.72</v>
      </c>
      <c r="I32" s="11">
        <v>600</v>
      </c>
      <c r="J32" s="11">
        <v>47.76</v>
      </c>
      <c r="K32" s="11">
        <v>600</v>
      </c>
      <c r="L32" s="11">
        <v>47.76</v>
      </c>
      <c r="M32" s="11"/>
      <c r="N32" s="11"/>
      <c r="O32" s="11"/>
      <c r="P32" s="11"/>
      <c r="Q32" s="8">
        <v>175.6</v>
      </c>
      <c r="R32" s="8"/>
      <c r="S32" s="11"/>
      <c r="T32" s="12">
        <v>47.78</v>
      </c>
      <c r="U32" s="11">
        <v>1</v>
      </c>
      <c r="V32" s="11" t="s">
        <v>1222</v>
      </c>
    </row>
    <row r="33" spans="1:22" x14ac:dyDescent="0.3">
      <c r="A33" s="53"/>
      <c r="B33" s="18" t="s">
        <v>763</v>
      </c>
      <c r="C33" s="11">
        <v>1.5</v>
      </c>
      <c r="D33" s="11" t="s">
        <v>1181</v>
      </c>
      <c r="E33" s="11">
        <v>48.86</v>
      </c>
      <c r="F33" s="11">
        <v>48.86</v>
      </c>
      <c r="G33" s="11">
        <v>47.29</v>
      </c>
      <c r="H33" s="11">
        <v>1.57</v>
      </c>
      <c r="I33" s="11">
        <v>600</v>
      </c>
      <c r="J33" s="11">
        <v>47.79</v>
      </c>
      <c r="K33" s="11">
        <v>600</v>
      </c>
      <c r="L33" s="11">
        <v>47.79</v>
      </c>
      <c r="M33" s="11"/>
      <c r="N33" s="11"/>
      <c r="O33" s="11"/>
      <c r="P33" s="11"/>
      <c r="Q33" s="8">
        <v>182.3</v>
      </c>
      <c r="R33" s="8"/>
      <c r="S33" s="8"/>
      <c r="T33" s="12">
        <v>48.36</v>
      </c>
      <c r="U33" s="11">
        <v>2</v>
      </c>
      <c r="V33" s="11" t="s">
        <v>1222</v>
      </c>
    </row>
    <row r="34" spans="1:22" x14ac:dyDescent="0.3">
      <c r="A34" s="53"/>
      <c r="B34" s="18" t="s">
        <v>764</v>
      </c>
      <c r="C34" s="11">
        <v>1.5</v>
      </c>
      <c r="D34" s="11" t="s">
        <v>765</v>
      </c>
      <c r="E34" s="11">
        <v>49.51</v>
      </c>
      <c r="F34" s="11">
        <v>49.51</v>
      </c>
      <c r="G34" s="11">
        <v>47.53</v>
      </c>
      <c r="H34" s="11">
        <v>1.98</v>
      </c>
      <c r="I34" s="11">
        <v>600</v>
      </c>
      <c r="J34" s="11">
        <v>48.03</v>
      </c>
      <c r="K34" s="11"/>
      <c r="L34" s="11"/>
      <c r="M34" s="11"/>
      <c r="N34" s="11"/>
      <c r="O34" s="11"/>
      <c r="P34" s="11"/>
      <c r="Q34" s="8"/>
      <c r="R34" s="8"/>
      <c r="S34" s="8"/>
      <c r="T34" s="12">
        <v>48.56</v>
      </c>
      <c r="U34" s="11">
        <v>2</v>
      </c>
      <c r="V34" s="11" t="s">
        <v>1222</v>
      </c>
    </row>
    <row r="35" spans="1:22" x14ac:dyDescent="0.3">
      <c r="A35" s="54"/>
      <c r="B35" s="18" t="s">
        <v>766</v>
      </c>
      <c r="C35" s="11">
        <v>1.2</v>
      </c>
      <c r="D35" s="11" t="s">
        <v>767</v>
      </c>
      <c r="E35" s="11">
        <v>47.5</v>
      </c>
      <c r="F35" s="11">
        <v>47.5</v>
      </c>
      <c r="G35" s="11">
        <v>46.27</v>
      </c>
      <c r="H35" s="11">
        <v>1.23</v>
      </c>
      <c r="I35" s="11">
        <v>300</v>
      </c>
      <c r="J35" s="11">
        <v>46.77</v>
      </c>
      <c r="K35" s="11">
        <v>300</v>
      </c>
      <c r="L35" s="11">
        <v>46.77</v>
      </c>
      <c r="M35" s="11">
        <v>200</v>
      </c>
      <c r="N35" s="11">
        <v>46.77</v>
      </c>
      <c r="O35" s="11"/>
      <c r="P35" s="11"/>
      <c r="Q35" s="8">
        <v>101.6</v>
      </c>
      <c r="R35" s="8">
        <v>63.5</v>
      </c>
      <c r="S35" s="11"/>
      <c r="T35" s="12"/>
      <c r="U35" s="11"/>
      <c r="V35" s="11" t="s">
        <v>1222</v>
      </c>
    </row>
    <row r="36" spans="1:22" x14ac:dyDescent="0.3">
      <c r="B36" s="18" t="s">
        <v>768</v>
      </c>
      <c r="C36" s="11">
        <v>1</v>
      </c>
      <c r="D36" s="11" t="s">
        <v>769</v>
      </c>
      <c r="E36" s="11">
        <v>51.92</v>
      </c>
      <c r="F36" s="11">
        <v>51.92</v>
      </c>
      <c r="G36" s="11">
        <v>49.45</v>
      </c>
      <c r="H36" s="11">
        <v>2.4700000000000002</v>
      </c>
      <c r="I36" s="11">
        <v>500</v>
      </c>
      <c r="J36" s="11">
        <v>50.95</v>
      </c>
      <c r="K36" s="11">
        <v>500</v>
      </c>
      <c r="L36" s="11">
        <v>50.95</v>
      </c>
      <c r="M36" s="11"/>
      <c r="N36" s="11"/>
      <c r="O36" s="11"/>
      <c r="P36" s="11"/>
      <c r="Q36" s="8">
        <v>180</v>
      </c>
      <c r="R36" s="8"/>
      <c r="S36" s="11"/>
      <c r="T36" s="12"/>
      <c r="U36" s="11"/>
      <c r="V36" s="11" t="s">
        <v>1222</v>
      </c>
    </row>
    <row r="37" spans="1:22" x14ac:dyDescent="0.3">
      <c r="A37" s="54"/>
      <c r="B37" s="18" t="s">
        <v>770</v>
      </c>
      <c r="C37" s="11">
        <v>1.5</v>
      </c>
      <c r="D37" s="11" t="s">
        <v>1201</v>
      </c>
      <c r="E37" s="11">
        <v>52.07</v>
      </c>
      <c r="F37" s="11">
        <v>52.07</v>
      </c>
      <c r="G37" s="11">
        <v>50.46</v>
      </c>
      <c r="H37" s="11">
        <v>1.61</v>
      </c>
      <c r="I37" s="11">
        <v>500</v>
      </c>
      <c r="J37" s="11">
        <v>50.96</v>
      </c>
      <c r="K37" s="11">
        <v>500</v>
      </c>
      <c r="L37" s="11">
        <v>50.96</v>
      </c>
      <c r="M37" s="11"/>
      <c r="N37" s="11"/>
      <c r="O37" s="11"/>
      <c r="P37" s="11"/>
      <c r="Q37" s="8">
        <v>266.7</v>
      </c>
      <c r="R37" s="8"/>
      <c r="S37" s="8"/>
      <c r="T37" s="13" t="s">
        <v>1171</v>
      </c>
      <c r="U37" s="11"/>
      <c r="V37" s="11" t="s">
        <v>1222</v>
      </c>
    </row>
    <row r="38" spans="1:22" x14ac:dyDescent="0.3">
      <c r="A38" s="53"/>
      <c r="B38" s="18" t="s">
        <v>771</v>
      </c>
      <c r="C38" s="11">
        <v>1.5</v>
      </c>
      <c r="D38" s="11" t="s">
        <v>772</v>
      </c>
      <c r="E38" s="11">
        <v>52.23</v>
      </c>
      <c r="F38" s="11">
        <v>52.23</v>
      </c>
      <c r="G38" s="11">
        <v>50.47</v>
      </c>
      <c r="H38" s="11">
        <v>1.76</v>
      </c>
      <c r="I38" s="11">
        <v>500</v>
      </c>
      <c r="J38" s="11">
        <v>50.97</v>
      </c>
      <c r="K38" s="11">
        <v>500</v>
      </c>
      <c r="L38" s="11">
        <v>50.97</v>
      </c>
      <c r="M38" s="11">
        <v>200</v>
      </c>
      <c r="N38" s="11">
        <v>51.17</v>
      </c>
      <c r="O38" s="11"/>
      <c r="P38" s="11"/>
      <c r="Q38" s="8">
        <v>175</v>
      </c>
      <c r="R38" s="8">
        <v>211.8</v>
      </c>
      <c r="S38" s="8"/>
      <c r="T38" s="12">
        <v>51.73</v>
      </c>
      <c r="U38" s="11">
        <v>1</v>
      </c>
      <c r="V38" s="11" t="s">
        <v>1222</v>
      </c>
    </row>
    <row r="39" spans="1:22" x14ac:dyDescent="0.3">
      <c r="A39" s="53"/>
      <c r="B39" s="18" t="s">
        <v>773</v>
      </c>
      <c r="C39" s="11">
        <v>1.5</v>
      </c>
      <c r="D39" s="11" t="s">
        <v>774</v>
      </c>
      <c r="E39" s="11">
        <v>52.78</v>
      </c>
      <c r="F39" s="11">
        <v>52.78</v>
      </c>
      <c r="G39" s="11">
        <v>50.88</v>
      </c>
      <c r="H39" s="11">
        <v>1.9</v>
      </c>
      <c r="I39" s="11">
        <v>500</v>
      </c>
      <c r="J39" s="11">
        <v>51.38</v>
      </c>
      <c r="K39" s="11"/>
      <c r="L39" s="11"/>
      <c r="M39" s="11"/>
      <c r="N39" s="11"/>
      <c r="O39" s="11"/>
      <c r="P39" s="11"/>
      <c r="Q39" s="8"/>
      <c r="R39" s="8"/>
      <c r="S39" s="8"/>
      <c r="T39" s="12">
        <v>51.69</v>
      </c>
      <c r="U39" s="11">
        <v>1</v>
      </c>
      <c r="V39" s="11" t="s">
        <v>1222</v>
      </c>
    </row>
    <row r="40" spans="1:22" x14ac:dyDescent="0.3">
      <c r="A40" s="53"/>
      <c r="B40" s="18" t="s">
        <v>775</v>
      </c>
      <c r="C40" s="11">
        <v>1.2</v>
      </c>
      <c r="D40" s="11" t="s">
        <v>776</v>
      </c>
      <c r="E40" s="11">
        <v>57.64</v>
      </c>
      <c r="F40" s="11">
        <v>57.64</v>
      </c>
      <c r="G40" s="11">
        <v>55.26</v>
      </c>
      <c r="H40" s="11">
        <v>2.38</v>
      </c>
      <c r="I40" s="11">
        <v>400</v>
      </c>
      <c r="J40" s="11">
        <v>56.76</v>
      </c>
      <c r="K40" s="11">
        <v>400</v>
      </c>
      <c r="L40" s="11">
        <v>56.76</v>
      </c>
      <c r="M40" s="11"/>
      <c r="N40" s="11"/>
      <c r="O40" s="11"/>
      <c r="P40" s="11"/>
      <c r="Q40" s="8">
        <v>180</v>
      </c>
      <c r="R40" s="8"/>
      <c r="S40" s="11"/>
      <c r="T40" s="12"/>
      <c r="U40" s="11"/>
      <c r="V40" s="11" t="s">
        <v>1222</v>
      </c>
    </row>
    <row r="41" spans="1:22" x14ac:dyDescent="0.3">
      <c r="A41" s="54"/>
      <c r="B41" s="18" t="s">
        <v>777</v>
      </c>
      <c r="C41" s="11">
        <v>1.5</v>
      </c>
      <c r="D41" s="11" t="s">
        <v>778</v>
      </c>
      <c r="E41" s="11">
        <v>57.64</v>
      </c>
      <c r="F41" s="11">
        <v>57.64</v>
      </c>
      <c r="G41" s="11">
        <v>56.27</v>
      </c>
      <c r="H41" s="11">
        <v>1.37</v>
      </c>
      <c r="I41" s="11">
        <v>400</v>
      </c>
      <c r="J41" s="11">
        <v>56.77</v>
      </c>
      <c r="K41" s="11">
        <v>400</v>
      </c>
      <c r="L41" s="11">
        <v>56.77</v>
      </c>
      <c r="M41" s="11"/>
      <c r="N41" s="11"/>
      <c r="O41" s="11"/>
      <c r="P41" s="11"/>
      <c r="Q41" s="8">
        <v>89</v>
      </c>
      <c r="R41" s="8"/>
      <c r="S41" s="11"/>
      <c r="T41" s="12"/>
      <c r="U41" s="11"/>
      <c r="V41" s="11" t="s">
        <v>1222</v>
      </c>
    </row>
    <row r="42" spans="1:22" x14ac:dyDescent="0.3">
      <c r="A42" s="53"/>
      <c r="B42" s="18" t="s">
        <v>779</v>
      </c>
      <c r="C42" s="11">
        <v>1.5</v>
      </c>
      <c r="D42" s="11" t="s">
        <v>780</v>
      </c>
      <c r="E42" s="11">
        <v>57.63</v>
      </c>
      <c r="F42" s="11">
        <v>57.64</v>
      </c>
      <c r="G42" s="11">
        <v>56.28</v>
      </c>
      <c r="H42" s="11">
        <v>1.36</v>
      </c>
      <c r="I42" s="11">
        <v>400</v>
      </c>
      <c r="J42" s="11">
        <v>56.78</v>
      </c>
      <c r="K42" s="11">
        <v>400</v>
      </c>
      <c r="L42" s="11">
        <v>56.78</v>
      </c>
      <c r="M42" s="11"/>
      <c r="N42" s="11"/>
      <c r="O42" s="11"/>
      <c r="P42" s="11"/>
      <c r="Q42" s="8">
        <v>177.2</v>
      </c>
      <c r="R42" s="8"/>
      <c r="S42" s="8"/>
      <c r="T42" s="12">
        <v>56.79</v>
      </c>
      <c r="U42" s="11">
        <v>1</v>
      </c>
      <c r="V42" s="11" t="s">
        <v>1222</v>
      </c>
    </row>
    <row r="43" spans="1:22" x14ac:dyDescent="0.3">
      <c r="A43" s="53"/>
      <c r="B43" s="18" t="s">
        <v>781</v>
      </c>
      <c r="C43" s="11">
        <v>1.5</v>
      </c>
      <c r="D43" s="11" t="s">
        <v>782</v>
      </c>
      <c r="E43" s="11">
        <v>58.39</v>
      </c>
      <c r="F43" s="11">
        <v>58.39</v>
      </c>
      <c r="G43" s="11">
        <v>56.52</v>
      </c>
      <c r="H43" s="11">
        <v>1.87</v>
      </c>
      <c r="I43" s="11">
        <v>400</v>
      </c>
      <c r="J43" s="11">
        <v>57.02</v>
      </c>
      <c r="K43" s="11"/>
      <c r="L43" s="11"/>
      <c r="M43" s="11"/>
      <c r="N43" s="11"/>
      <c r="O43" s="11"/>
      <c r="P43" s="11"/>
      <c r="Q43" s="8"/>
      <c r="R43" s="8"/>
      <c r="S43" s="8"/>
      <c r="T43" s="12">
        <v>57.16</v>
      </c>
      <c r="U43" s="11">
        <v>1</v>
      </c>
      <c r="V43" s="11" t="s">
        <v>1222</v>
      </c>
    </row>
    <row r="44" spans="1:22" x14ac:dyDescent="0.3">
      <c r="A44" s="53"/>
      <c r="B44" s="18" t="s">
        <v>783</v>
      </c>
      <c r="C44" s="11">
        <v>1</v>
      </c>
      <c r="D44" s="11" t="s">
        <v>784</v>
      </c>
      <c r="E44" s="11">
        <v>57.93</v>
      </c>
      <c r="F44" s="11">
        <v>57.93</v>
      </c>
      <c r="G44" s="11">
        <v>55.52</v>
      </c>
      <c r="H44" s="11">
        <v>2.41</v>
      </c>
      <c r="I44" s="11">
        <v>400</v>
      </c>
      <c r="J44" s="11">
        <v>57.02</v>
      </c>
      <c r="K44" s="11">
        <v>400</v>
      </c>
      <c r="L44" s="11">
        <v>57.02</v>
      </c>
      <c r="M44" s="11"/>
      <c r="N44" s="11"/>
      <c r="O44" s="11"/>
      <c r="P44" s="11"/>
      <c r="Q44" s="8">
        <v>180</v>
      </c>
      <c r="R44" s="8"/>
      <c r="S44" s="11"/>
      <c r="T44" s="12"/>
      <c r="U44" s="11"/>
      <c r="V44" s="11" t="s">
        <v>1222</v>
      </c>
    </row>
    <row r="45" spans="1:22" x14ac:dyDescent="0.3">
      <c r="A45" s="54"/>
      <c r="B45" s="18" t="s">
        <v>785</v>
      </c>
      <c r="C45" s="11">
        <v>1.5</v>
      </c>
      <c r="D45" s="11" t="s">
        <v>786</v>
      </c>
      <c r="E45" s="11">
        <v>58</v>
      </c>
      <c r="F45" s="11">
        <v>58</v>
      </c>
      <c r="G45" s="11">
        <v>56.54</v>
      </c>
      <c r="H45" s="11">
        <v>1.46</v>
      </c>
      <c r="I45" s="11">
        <v>400</v>
      </c>
      <c r="J45" s="11">
        <v>57.04</v>
      </c>
      <c r="K45" s="11">
        <v>400</v>
      </c>
      <c r="L45" s="11">
        <v>57.04</v>
      </c>
      <c r="M45" s="11"/>
      <c r="N45" s="11"/>
      <c r="O45" s="11"/>
      <c r="P45" s="11"/>
      <c r="Q45" s="8">
        <v>268</v>
      </c>
      <c r="R45" s="8"/>
      <c r="S45" s="11"/>
      <c r="T45" s="12"/>
      <c r="U45" s="11"/>
      <c r="V45" s="11" t="s">
        <v>1222</v>
      </c>
    </row>
    <row r="46" spans="1:22" x14ac:dyDescent="0.3">
      <c r="A46" s="53"/>
      <c r="B46" s="19" t="s">
        <v>787</v>
      </c>
      <c r="C46" s="15">
        <v>1.5</v>
      </c>
      <c r="D46" s="15" t="s">
        <v>788</v>
      </c>
      <c r="E46" s="15">
        <v>58.02</v>
      </c>
      <c r="F46" s="15">
        <v>58.02</v>
      </c>
      <c r="G46" s="15">
        <v>56.56</v>
      </c>
      <c r="H46" s="15">
        <v>1.46</v>
      </c>
      <c r="I46" s="15">
        <v>400</v>
      </c>
      <c r="J46" s="15">
        <v>57.06</v>
      </c>
      <c r="K46" s="15">
        <v>400</v>
      </c>
      <c r="L46" s="15">
        <v>57.06</v>
      </c>
      <c r="M46" s="15">
        <v>250</v>
      </c>
      <c r="N46" s="15">
        <v>57.21</v>
      </c>
      <c r="O46" s="15"/>
      <c r="P46" s="15"/>
      <c r="Q46" s="16">
        <v>179.7</v>
      </c>
      <c r="R46" s="16">
        <v>263.8</v>
      </c>
      <c r="S46" s="8"/>
      <c r="T46" s="12">
        <v>57.5</v>
      </c>
      <c r="U46" s="11">
        <v>1</v>
      </c>
      <c r="V46" s="11" t="s">
        <v>1222</v>
      </c>
    </row>
    <row r="47" spans="1:22" x14ac:dyDescent="0.3">
      <c r="A47" s="53"/>
      <c r="B47" s="18" t="s">
        <v>789</v>
      </c>
      <c r="C47" s="11">
        <v>1.5</v>
      </c>
      <c r="D47" s="11" t="s">
        <v>790</v>
      </c>
      <c r="E47" s="11">
        <v>58.22</v>
      </c>
      <c r="F47" s="11">
        <v>58.22</v>
      </c>
      <c r="G47" s="11">
        <v>56.78</v>
      </c>
      <c r="H47" s="11">
        <v>1.44</v>
      </c>
      <c r="I47" s="11">
        <v>400</v>
      </c>
      <c r="J47" s="11">
        <v>57.28</v>
      </c>
      <c r="K47" s="11"/>
      <c r="L47" s="11"/>
      <c r="M47" s="11"/>
      <c r="N47" s="11"/>
      <c r="O47" s="11"/>
      <c r="P47" s="11"/>
      <c r="Q47" s="8"/>
      <c r="R47" s="8"/>
      <c r="S47" s="8"/>
      <c r="T47" s="12">
        <v>57.52</v>
      </c>
      <c r="U47" s="11">
        <v>1</v>
      </c>
      <c r="V47" s="11" t="s">
        <v>1222</v>
      </c>
    </row>
    <row r="48" spans="1:22" x14ac:dyDescent="0.3">
      <c r="A48" s="54"/>
      <c r="B48" s="18" t="s">
        <v>791</v>
      </c>
      <c r="C48" s="11">
        <v>1.2</v>
      </c>
      <c r="D48" s="11" t="s">
        <v>792</v>
      </c>
      <c r="E48" s="11">
        <v>59.09</v>
      </c>
      <c r="F48" s="11">
        <v>59.09</v>
      </c>
      <c r="G48" s="11">
        <v>57.66</v>
      </c>
      <c r="H48" s="11">
        <v>1.43</v>
      </c>
      <c r="I48" s="11">
        <v>400</v>
      </c>
      <c r="J48" s="11">
        <v>58.16</v>
      </c>
      <c r="K48" s="11">
        <v>400</v>
      </c>
      <c r="L48" s="11">
        <v>58.16</v>
      </c>
      <c r="M48" s="11"/>
      <c r="N48" s="11"/>
      <c r="O48" s="11"/>
      <c r="P48" s="11"/>
      <c r="Q48" s="8">
        <v>261.2</v>
      </c>
      <c r="R48" s="8"/>
      <c r="S48" s="11"/>
      <c r="T48" s="12"/>
      <c r="U48" s="11"/>
      <c r="V48" s="11" t="s">
        <v>1222</v>
      </c>
    </row>
    <row r="49" spans="1:22" x14ac:dyDescent="0.3">
      <c r="A49" s="53"/>
      <c r="B49" s="18" t="s">
        <v>793</v>
      </c>
      <c r="C49" s="11">
        <v>1.2</v>
      </c>
      <c r="D49" s="11" t="s">
        <v>794</v>
      </c>
      <c r="E49" s="11">
        <v>59.14</v>
      </c>
      <c r="F49" s="11">
        <v>59.14</v>
      </c>
      <c r="G49" s="11">
        <v>56.66</v>
      </c>
      <c r="H49" s="11">
        <v>2.48</v>
      </c>
      <c r="I49" s="11">
        <v>400</v>
      </c>
      <c r="J49" s="11">
        <v>58.16</v>
      </c>
      <c r="K49" s="11">
        <v>400</v>
      </c>
      <c r="L49" s="11">
        <v>58.16</v>
      </c>
      <c r="M49" s="11"/>
      <c r="N49" s="11"/>
      <c r="O49" s="11"/>
      <c r="P49" s="11"/>
      <c r="Q49" s="8">
        <v>180.1</v>
      </c>
      <c r="R49" s="8"/>
      <c r="S49" s="11"/>
      <c r="T49" s="12"/>
      <c r="U49" s="11"/>
      <c r="V49" s="11" t="s">
        <v>1222</v>
      </c>
    </row>
    <row r="50" spans="1:22" x14ac:dyDescent="0.3">
      <c r="A50" s="53"/>
      <c r="B50" s="18" t="s">
        <v>795</v>
      </c>
      <c r="C50" s="11">
        <v>1.5</v>
      </c>
      <c r="D50" s="11" t="s">
        <v>796</v>
      </c>
      <c r="E50" s="11">
        <v>59.32</v>
      </c>
      <c r="F50" s="11">
        <v>59.32</v>
      </c>
      <c r="G50" s="11">
        <v>57.67</v>
      </c>
      <c r="H50" s="11">
        <v>1.65</v>
      </c>
      <c r="I50" s="11">
        <v>400</v>
      </c>
      <c r="J50" s="11">
        <v>58.17</v>
      </c>
      <c r="K50" s="11">
        <v>400</v>
      </c>
      <c r="L50" s="11">
        <v>58.17</v>
      </c>
      <c r="M50" s="11"/>
      <c r="N50" s="11"/>
      <c r="O50" s="11"/>
      <c r="P50" s="11"/>
      <c r="Q50" s="8">
        <v>184</v>
      </c>
      <c r="R50" s="8"/>
      <c r="S50" s="11"/>
      <c r="T50" s="12">
        <v>58.27</v>
      </c>
      <c r="U50" s="11">
        <v>1</v>
      </c>
      <c r="V50" s="11" t="s">
        <v>1222</v>
      </c>
    </row>
    <row r="51" spans="1:22" x14ac:dyDescent="0.3">
      <c r="A51" s="53"/>
      <c r="B51" s="18" t="s">
        <v>797</v>
      </c>
      <c r="C51" s="11">
        <v>1.5</v>
      </c>
      <c r="D51" s="11" t="s">
        <v>798</v>
      </c>
      <c r="E51" s="11">
        <v>59.63</v>
      </c>
      <c r="F51" s="11">
        <v>59.63</v>
      </c>
      <c r="G51" s="11">
        <v>57.71</v>
      </c>
      <c r="H51" s="11">
        <v>1.92</v>
      </c>
      <c r="I51" s="11">
        <v>400</v>
      </c>
      <c r="J51" s="11">
        <v>58.21</v>
      </c>
      <c r="K51" s="11"/>
      <c r="L51" s="11"/>
      <c r="M51" s="11"/>
      <c r="N51" s="11"/>
      <c r="O51" s="11"/>
      <c r="P51" s="11"/>
      <c r="Q51" s="8"/>
      <c r="R51" s="8"/>
      <c r="S51" s="11"/>
      <c r="T51" s="12">
        <v>58.27</v>
      </c>
      <c r="U51" s="11">
        <v>1</v>
      </c>
      <c r="V51" s="11" t="s">
        <v>1222</v>
      </c>
    </row>
    <row r="52" spans="1:22" x14ac:dyDescent="0.3">
      <c r="B52" s="11" t="s">
        <v>799</v>
      </c>
      <c r="C52" s="11">
        <v>1</v>
      </c>
      <c r="D52" s="11" t="s">
        <v>800</v>
      </c>
      <c r="E52" s="11">
        <v>59</v>
      </c>
      <c r="F52" s="11">
        <v>59</v>
      </c>
      <c r="G52" s="11">
        <v>56.61</v>
      </c>
      <c r="H52" s="11">
        <v>2.39</v>
      </c>
      <c r="I52" s="11">
        <v>400</v>
      </c>
      <c r="J52" s="11">
        <v>57.61</v>
      </c>
      <c r="K52" s="11">
        <v>400</v>
      </c>
      <c r="L52" s="11">
        <v>57.61</v>
      </c>
      <c r="M52" s="11"/>
      <c r="N52" s="11"/>
      <c r="O52" s="11"/>
      <c r="P52" s="11"/>
      <c r="Q52" s="8">
        <v>182.3</v>
      </c>
      <c r="R52" s="8"/>
      <c r="S52" s="11"/>
      <c r="T52" s="12"/>
      <c r="U52" s="11"/>
      <c r="V52" s="11" t="s">
        <v>1222</v>
      </c>
    </row>
    <row r="53" spans="1:22" x14ac:dyDescent="0.3">
      <c r="B53" s="18" t="s">
        <v>801</v>
      </c>
      <c r="C53" s="11">
        <v>1.5</v>
      </c>
      <c r="D53" s="11" t="s">
        <v>802</v>
      </c>
      <c r="E53" s="11">
        <v>59.15</v>
      </c>
      <c r="F53" s="11">
        <v>59.15</v>
      </c>
      <c r="G53" s="11">
        <v>57.16</v>
      </c>
      <c r="H53" s="11">
        <v>1.99</v>
      </c>
      <c r="I53" s="11">
        <v>400</v>
      </c>
      <c r="J53" s="11">
        <v>57.66</v>
      </c>
      <c r="K53" s="11">
        <v>400</v>
      </c>
      <c r="L53" s="11">
        <v>57.66</v>
      </c>
      <c r="M53" s="11"/>
      <c r="N53" s="11"/>
      <c r="O53" s="11"/>
      <c r="P53" s="11"/>
      <c r="Q53" s="8">
        <v>218</v>
      </c>
      <c r="R53" s="8"/>
      <c r="S53" s="11"/>
      <c r="T53" s="12">
        <v>58.64</v>
      </c>
      <c r="U53" s="11">
        <v>1</v>
      </c>
      <c r="V53" s="11" t="s">
        <v>1222</v>
      </c>
    </row>
    <row r="54" spans="1:22" x14ac:dyDescent="0.3">
      <c r="B54" s="18" t="s">
        <v>803</v>
      </c>
      <c r="C54" s="11">
        <v>1.5</v>
      </c>
      <c r="D54" s="11" t="s">
        <v>804</v>
      </c>
      <c r="E54" s="11">
        <v>59.25</v>
      </c>
      <c r="F54" s="11">
        <v>59.25</v>
      </c>
      <c r="G54" s="11">
        <v>57.49</v>
      </c>
      <c r="H54" s="11">
        <v>1.76</v>
      </c>
      <c r="I54" s="11">
        <v>400</v>
      </c>
      <c r="J54" s="11">
        <v>57.99</v>
      </c>
      <c r="K54" s="11"/>
      <c r="L54" s="11"/>
      <c r="M54" s="11"/>
      <c r="N54" s="11"/>
      <c r="O54" s="11"/>
      <c r="P54" s="11"/>
      <c r="Q54" s="8"/>
      <c r="R54" s="8"/>
      <c r="S54" s="11"/>
      <c r="T54" s="12">
        <v>58.74</v>
      </c>
      <c r="U54" s="11">
        <v>1</v>
      </c>
      <c r="V54" s="11" t="s">
        <v>1283</v>
      </c>
    </row>
    <row r="55" spans="1:22" x14ac:dyDescent="0.3">
      <c r="B55" s="11" t="s">
        <v>805</v>
      </c>
      <c r="C55" s="11">
        <v>1.2</v>
      </c>
      <c r="D55" s="11" t="s">
        <v>806</v>
      </c>
      <c r="E55" s="11">
        <v>57.43</v>
      </c>
      <c r="F55" s="11">
        <v>57.43</v>
      </c>
      <c r="G55" s="11">
        <v>56.05</v>
      </c>
      <c r="H55" s="11">
        <v>1.38</v>
      </c>
      <c r="I55" s="11">
        <v>400</v>
      </c>
      <c r="J55" s="11">
        <v>56.55</v>
      </c>
      <c r="K55" s="11">
        <v>400</v>
      </c>
      <c r="L55" s="11">
        <v>56.55</v>
      </c>
      <c r="M55" s="11"/>
      <c r="N55" s="11"/>
      <c r="O55" s="11"/>
      <c r="P55" s="11"/>
      <c r="Q55" s="8">
        <v>218.6</v>
      </c>
      <c r="R55" s="8"/>
      <c r="S55" s="11"/>
      <c r="T55" s="12"/>
      <c r="U55" s="11"/>
      <c r="V55" s="11" t="s">
        <v>1222</v>
      </c>
    </row>
    <row r="56" spans="1:22" x14ac:dyDescent="0.3">
      <c r="B56" s="11" t="s">
        <v>807</v>
      </c>
      <c r="C56" s="11">
        <v>1.5</v>
      </c>
      <c r="D56" s="11" t="s">
        <v>808</v>
      </c>
      <c r="E56" s="11">
        <v>57.7</v>
      </c>
      <c r="F56" s="11">
        <v>57.7</v>
      </c>
      <c r="G56" s="11">
        <v>56.1</v>
      </c>
      <c r="H56" s="11">
        <v>1.6</v>
      </c>
      <c r="I56" s="11">
        <v>400</v>
      </c>
      <c r="J56" s="11">
        <v>56.6</v>
      </c>
      <c r="K56" s="11">
        <v>400</v>
      </c>
      <c r="L56" s="11">
        <v>56.6</v>
      </c>
      <c r="M56" s="11"/>
      <c r="N56" s="11"/>
      <c r="O56" s="11"/>
      <c r="P56" s="11"/>
      <c r="Q56" s="8">
        <v>96.9</v>
      </c>
      <c r="R56" s="8"/>
      <c r="S56" s="11"/>
      <c r="T56" s="12">
        <v>57.19</v>
      </c>
      <c r="U56" s="11">
        <v>1</v>
      </c>
      <c r="V56" s="11" t="s">
        <v>1222</v>
      </c>
    </row>
    <row r="57" spans="1:22" x14ac:dyDescent="0.3">
      <c r="B57" s="11" t="s">
        <v>809</v>
      </c>
      <c r="C57" s="11">
        <v>1.5</v>
      </c>
      <c r="D57" s="11" t="s">
        <v>810</v>
      </c>
      <c r="E57" s="11">
        <v>57.86</v>
      </c>
      <c r="F57" s="11">
        <v>57.86</v>
      </c>
      <c r="G57" s="11">
        <v>56.13</v>
      </c>
      <c r="H57" s="11">
        <v>1.73</v>
      </c>
      <c r="I57" s="11">
        <v>400</v>
      </c>
      <c r="J57" s="11">
        <v>56.63</v>
      </c>
      <c r="K57" s="11"/>
      <c r="L57" s="11"/>
      <c r="M57" s="11"/>
      <c r="N57" s="11"/>
      <c r="O57" s="11"/>
      <c r="P57" s="11"/>
      <c r="Q57" s="8"/>
      <c r="R57" s="8"/>
      <c r="S57" s="11"/>
      <c r="T57" s="12">
        <v>57.21</v>
      </c>
      <c r="U57" s="11">
        <v>1</v>
      </c>
      <c r="V57" s="11" t="s">
        <v>1222</v>
      </c>
    </row>
    <row r="58" spans="1:22" x14ac:dyDescent="0.3">
      <c r="B58" s="18" t="s">
        <v>811</v>
      </c>
      <c r="C58" s="11">
        <v>1</v>
      </c>
      <c r="D58" s="11" t="s">
        <v>812</v>
      </c>
      <c r="E58" s="11">
        <v>65.63</v>
      </c>
      <c r="F58" s="11">
        <v>65.63</v>
      </c>
      <c r="G58" s="11">
        <v>63.02</v>
      </c>
      <c r="H58" s="11">
        <v>2.61</v>
      </c>
      <c r="I58" s="11">
        <v>400</v>
      </c>
      <c r="J58" s="11">
        <v>64.52</v>
      </c>
      <c r="K58" s="11">
        <v>400</v>
      </c>
      <c r="L58" s="11">
        <v>64.52</v>
      </c>
      <c r="M58" s="11"/>
      <c r="N58" s="11"/>
      <c r="O58" s="11"/>
      <c r="P58" s="11"/>
      <c r="Q58" s="8">
        <v>179.5</v>
      </c>
      <c r="R58" s="8"/>
      <c r="S58" s="11"/>
      <c r="T58" s="12"/>
      <c r="U58" s="11"/>
      <c r="V58" s="11" t="s">
        <v>1222</v>
      </c>
    </row>
    <row r="59" spans="1:22" x14ac:dyDescent="0.3">
      <c r="A59" s="54"/>
      <c r="B59" s="18" t="s">
        <v>813</v>
      </c>
      <c r="C59" s="11">
        <v>1.2</v>
      </c>
      <c r="D59" s="11" t="s">
        <v>814</v>
      </c>
      <c r="E59" s="11">
        <v>65.760000000000005</v>
      </c>
      <c r="F59" s="11">
        <v>65.760000000000005</v>
      </c>
      <c r="G59" s="11">
        <v>64.02</v>
      </c>
      <c r="H59" s="11">
        <v>1.74</v>
      </c>
      <c r="I59" s="11">
        <v>400</v>
      </c>
      <c r="J59" s="11">
        <v>64.52</v>
      </c>
      <c r="K59" s="11">
        <v>400</v>
      </c>
      <c r="L59" s="11">
        <v>64.52</v>
      </c>
      <c r="M59" s="11">
        <v>400</v>
      </c>
      <c r="N59" s="11">
        <v>64.52</v>
      </c>
      <c r="O59" s="11"/>
      <c r="P59" s="11"/>
      <c r="Q59" s="8">
        <v>182</v>
      </c>
      <c r="R59" s="8">
        <v>263.89999999999998</v>
      </c>
      <c r="S59" s="11"/>
      <c r="T59" s="12"/>
      <c r="U59" s="11"/>
      <c r="V59" s="11" t="s">
        <v>1222</v>
      </c>
    </row>
    <row r="60" spans="1:22" x14ac:dyDescent="0.3">
      <c r="A60" s="53"/>
      <c r="B60" s="18" t="s">
        <v>815</v>
      </c>
      <c r="C60" s="11">
        <v>1.2</v>
      </c>
      <c r="D60" s="11" t="s">
        <v>816</v>
      </c>
      <c r="E60" s="11">
        <v>67.5</v>
      </c>
      <c r="F60" s="11">
        <v>67.5</v>
      </c>
      <c r="G60" s="11">
        <v>65.319999999999993</v>
      </c>
      <c r="H60" s="11">
        <v>2.1800000000000002</v>
      </c>
      <c r="I60" s="11">
        <v>400</v>
      </c>
      <c r="J60" s="11">
        <v>65.819999999999993</v>
      </c>
      <c r="K60" s="11">
        <v>400</v>
      </c>
      <c r="L60" s="11">
        <v>65.819999999999993</v>
      </c>
      <c r="M60" s="11">
        <v>200</v>
      </c>
      <c r="N60" s="11">
        <v>66.319999999999993</v>
      </c>
      <c r="O60" s="11"/>
      <c r="P60" s="11"/>
      <c r="Q60" s="8">
        <v>95.2</v>
      </c>
      <c r="R60" s="8">
        <v>150.30000000000001</v>
      </c>
      <c r="S60" s="11"/>
      <c r="T60" s="12"/>
      <c r="U60" s="11"/>
      <c r="V60" s="11" t="s">
        <v>1222</v>
      </c>
    </row>
    <row r="61" spans="1:22" x14ac:dyDescent="0.3">
      <c r="A61" s="53"/>
      <c r="B61" s="18" t="s">
        <v>817</v>
      </c>
      <c r="C61" s="11">
        <v>1.2</v>
      </c>
      <c r="D61" s="11" t="s">
        <v>818</v>
      </c>
      <c r="E61" s="11">
        <v>67.430000000000007</v>
      </c>
      <c r="F61" s="11">
        <v>67.430000000000007</v>
      </c>
      <c r="G61" s="11">
        <v>65.72</v>
      </c>
      <c r="H61" s="11">
        <v>1.71</v>
      </c>
      <c r="I61" s="11">
        <v>400</v>
      </c>
      <c r="J61" s="11">
        <v>66.22</v>
      </c>
      <c r="K61" s="11">
        <v>400</v>
      </c>
      <c r="L61" s="11">
        <v>66.22</v>
      </c>
      <c r="M61" s="11"/>
      <c r="N61" s="11"/>
      <c r="O61" s="11"/>
      <c r="P61" s="11"/>
      <c r="Q61" s="8">
        <v>268.2</v>
      </c>
      <c r="R61" s="8"/>
      <c r="S61" s="11"/>
      <c r="T61" s="12"/>
      <c r="U61" s="11"/>
      <c r="V61" s="11" t="s">
        <v>1222</v>
      </c>
    </row>
    <row r="62" spans="1:22" x14ac:dyDescent="0.3">
      <c r="A62" s="53"/>
      <c r="B62" s="18" t="s">
        <v>820</v>
      </c>
      <c r="C62" s="11">
        <v>1.5</v>
      </c>
      <c r="D62" s="11" t="s">
        <v>821</v>
      </c>
      <c r="E62" s="11">
        <v>66.17</v>
      </c>
      <c r="F62" s="11">
        <v>66.17</v>
      </c>
      <c r="G62" s="11">
        <v>64.27</v>
      </c>
      <c r="H62" s="11">
        <v>1.9</v>
      </c>
      <c r="I62" s="11">
        <v>400</v>
      </c>
      <c r="J62" s="11">
        <v>64.77</v>
      </c>
      <c r="K62" s="11">
        <v>400</v>
      </c>
      <c r="L62" s="11">
        <v>64.77</v>
      </c>
      <c r="M62" s="11"/>
      <c r="N62" s="11"/>
      <c r="O62" s="11"/>
      <c r="P62" s="11"/>
      <c r="Q62" s="8">
        <v>181.1</v>
      </c>
      <c r="R62" s="8"/>
      <c r="S62" s="11"/>
      <c r="T62" s="12">
        <v>65.22</v>
      </c>
      <c r="U62" s="11">
        <v>1</v>
      </c>
      <c r="V62" s="11" t="s">
        <v>1222</v>
      </c>
    </row>
    <row r="63" spans="1:22" x14ac:dyDescent="0.3">
      <c r="A63" s="53"/>
      <c r="B63" s="18" t="s">
        <v>819</v>
      </c>
      <c r="C63" s="11">
        <v>1.5</v>
      </c>
      <c r="D63" s="11" t="s">
        <v>822</v>
      </c>
      <c r="E63" s="11">
        <v>67.2</v>
      </c>
      <c r="F63" s="11">
        <v>67.2</v>
      </c>
      <c r="G63" s="11">
        <v>64.89</v>
      </c>
      <c r="H63" s="11">
        <v>2.31</v>
      </c>
      <c r="I63" s="11">
        <v>400</v>
      </c>
      <c r="J63" s="11">
        <v>65.39</v>
      </c>
      <c r="K63" s="11"/>
      <c r="L63" s="11"/>
      <c r="M63" s="11"/>
      <c r="N63" s="11"/>
      <c r="O63" s="11"/>
      <c r="P63" s="11"/>
      <c r="Q63" s="8"/>
      <c r="R63" s="8"/>
      <c r="S63" s="11"/>
      <c r="T63" s="12">
        <v>66.02</v>
      </c>
      <c r="U63" s="11">
        <v>1</v>
      </c>
      <c r="V63" s="11" t="s">
        <v>1222</v>
      </c>
    </row>
    <row r="64" spans="1:22" x14ac:dyDescent="0.3">
      <c r="B64" s="18" t="s">
        <v>823</v>
      </c>
      <c r="C64" s="11">
        <v>2</v>
      </c>
      <c r="D64" s="11" t="s">
        <v>824</v>
      </c>
      <c r="E64" s="11">
        <v>71.53</v>
      </c>
      <c r="F64" s="11">
        <v>71.53</v>
      </c>
      <c r="G64" s="11">
        <v>69</v>
      </c>
      <c r="H64" s="11">
        <v>2.5299999999999998</v>
      </c>
      <c r="I64" s="11">
        <v>600</v>
      </c>
      <c r="J64" s="11">
        <v>69.5</v>
      </c>
      <c r="K64" s="11">
        <v>600</v>
      </c>
      <c r="L64" s="11">
        <v>69.5</v>
      </c>
      <c r="M64" s="11"/>
      <c r="N64" s="11"/>
      <c r="O64" s="11"/>
      <c r="P64" s="11"/>
      <c r="Q64" s="8">
        <v>261.3</v>
      </c>
      <c r="R64" s="8"/>
      <c r="S64" s="11"/>
      <c r="T64" s="12"/>
      <c r="U64" s="11"/>
      <c r="V64" s="11" t="s">
        <v>1222</v>
      </c>
    </row>
    <row r="65" spans="1:22" x14ac:dyDescent="0.3">
      <c r="A65" s="53"/>
      <c r="B65" s="18" t="s">
        <v>825</v>
      </c>
      <c r="C65" s="11">
        <v>1.5</v>
      </c>
      <c r="D65" s="11" t="s">
        <v>826</v>
      </c>
      <c r="E65" s="11">
        <v>72.3</v>
      </c>
      <c r="F65" s="11">
        <v>72.3</v>
      </c>
      <c r="G65" s="11">
        <v>69.900000000000006</v>
      </c>
      <c r="H65" s="11">
        <v>2.4</v>
      </c>
      <c r="I65" s="11">
        <v>600</v>
      </c>
      <c r="J65" s="11">
        <v>70.400000000000006</v>
      </c>
      <c r="K65" s="11">
        <v>600</v>
      </c>
      <c r="L65" s="11">
        <v>70.400000000000006</v>
      </c>
      <c r="M65" s="11"/>
      <c r="N65" s="11"/>
      <c r="O65" s="11"/>
      <c r="P65" s="11"/>
      <c r="Q65" s="8">
        <v>179</v>
      </c>
      <c r="R65" s="8"/>
      <c r="S65" s="11"/>
      <c r="T65" s="12">
        <v>71.22</v>
      </c>
      <c r="U65" s="11">
        <v>1</v>
      </c>
      <c r="V65" s="11" t="s">
        <v>1222</v>
      </c>
    </row>
    <row r="66" spans="1:22" x14ac:dyDescent="0.3">
      <c r="A66" s="53"/>
      <c r="B66" s="18" t="s">
        <v>827</v>
      </c>
      <c r="C66" s="11">
        <v>1.5</v>
      </c>
      <c r="D66" s="11" t="s">
        <v>828</v>
      </c>
      <c r="E66" s="11">
        <v>72.930000000000007</v>
      </c>
      <c r="F66" s="11">
        <v>72.930000000000007</v>
      </c>
      <c r="G66" s="11">
        <v>71.03</v>
      </c>
      <c r="H66" s="11">
        <v>1.9</v>
      </c>
      <c r="I66" s="11">
        <v>600</v>
      </c>
      <c r="J66" s="11">
        <v>71.53</v>
      </c>
      <c r="K66" s="11"/>
      <c r="L66" s="11"/>
      <c r="M66" s="11"/>
      <c r="N66" s="11"/>
      <c r="O66" s="11"/>
      <c r="P66" s="11"/>
      <c r="Q66" s="8"/>
      <c r="R66" s="8"/>
      <c r="S66" s="11"/>
      <c r="T66" s="12">
        <v>71.87</v>
      </c>
      <c r="U66" s="11">
        <v>1</v>
      </c>
      <c r="V66" s="11" t="s">
        <v>1222</v>
      </c>
    </row>
    <row r="67" spans="1:22" x14ac:dyDescent="0.3">
      <c r="B67" s="11" t="s">
        <v>829</v>
      </c>
      <c r="C67" s="11">
        <v>1.2</v>
      </c>
      <c r="D67" s="11" t="s">
        <v>830</v>
      </c>
      <c r="E67" s="11">
        <v>83.9</v>
      </c>
      <c r="F67" s="11">
        <v>83.9</v>
      </c>
      <c r="G67" s="11">
        <v>82.44</v>
      </c>
      <c r="H67" s="11">
        <v>1.46</v>
      </c>
      <c r="I67" s="11">
        <v>400</v>
      </c>
      <c r="J67" s="11">
        <v>82.94</v>
      </c>
      <c r="K67" s="11">
        <v>400</v>
      </c>
      <c r="L67" s="11">
        <v>82.94</v>
      </c>
      <c r="M67" s="11"/>
      <c r="N67" s="11"/>
      <c r="O67" s="11"/>
      <c r="P67" s="11"/>
      <c r="Q67" s="8">
        <v>176.2</v>
      </c>
      <c r="R67" s="8"/>
      <c r="S67" s="11"/>
      <c r="T67" s="12"/>
      <c r="U67" s="11"/>
      <c r="V67" s="11" t="s">
        <v>1222</v>
      </c>
    </row>
    <row r="68" spans="1:22" x14ac:dyDescent="0.3">
      <c r="B68" s="11" t="s">
        <v>831</v>
      </c>
      <c r="C68" s="11">
        <v>1.2</v>
      </c>
      <c r="D68" s="11" t="s">
        <v>832</v>
      </c>
      <c r="E68" s="11">
        <v>83.9</v>
      </c>
      <c r="F68" s="11">
        <v>83.9</v>
      </c>
      <c r="G68" s="11">
        <v>82.48</v>
      </c>
      <c r="H68" s="11">
        <v>1.42</v>
      </c>
      <c r="I68" s="11">
        <v>400</v>
      </c>
      <c r="J68" s="11">
        <v>82.98</v>
      </c>
      <c r="K68" s="11">
        <v>400</v>
      </c>
      <c r="L68" s="11">
        <v>82.98</v>
      </c>
      <c r="M68" s="11"/>
      <c r="N68" s="11"/>
      <c r="O68" s="11"/>
      <c r="P68" s="11"/>
      <c r="Q68" s="8">
        <v>214.3</v>
      </c>
      <c r="R68" s="8"/>
      <c r="S68" s="11"/>
      <c r="T68" s="12"/>
      <c r="U68" s="11"/>
      <c r="V68" s="11" t="s">
        <v>1222</v>
      </c>
    </row>
    <row r="69" spans="1:22" x14ac:dyDescent="0.3">
      <c r="B69" s="11" t="s">
        <v>833</v>
      </c>
      <c r="C69" s="11">
        <v>1.2</v>
      </c>
      <c r="D69" s="11" t="s">
        <v>834</v>
      </c>
      <c r="E69" s="11">
        <v>84.3</v>
      </c>
      <c r="F69" s="11">
        <v>84.3</v>
      </c>
      <c r="G69" s="11">
        <v>82.49</v>
      </c>
      <c r="H69" s="11">
        <v>1.81</v>
      </c>
      <c r="I69" s="11">
        <v>400</v>
      </c>
      <c r="J69" s="11">
        <v>82.99</v>
      </c>
      <c r="K69" s="11">
        <v>400</v>
      </c>
      <c r="L69" s="11">
        <v>82.99</v>
      </c>
      <c r="M69" s="11">
        <v>200</v>
      </c>
      <c r="N69" s="11">
        <v>82.99</v>
      </c>
      <c r="O69" s="11"/>
      <c r="P69" s="11"/>
      <c r="Q69" s="8">
        <v>147.1</v>
      </c>
      <c r="R69" s="8">
        <v>237.1</v>
      </c>
      <c r="S69" s="11"/>
      <c r="T69" s="12"/>
      <c r="U69" s="11"/>
      <c r="V69" s="11" t="s">
        <v>1222</v>
      </c>
    </row>
    <row r="70" spans="1:22" x14ac:dyDescent="0.3">
      <c r="B70" s="11" t="s">
        <v>835</v>
      </c>
      <c r="C70" s="11">
        <v>1.2</v>
      </c>
      <c r="D70" s="11" t="s">
        <v>836</v>
      </c>
      <c r="E70" s="11">
        <v>84.38</v>
      </c>
      <c r="F70" s="11">
        <v>84.38</v>
      </c>
      <c r="G70" s="11">
        <v>82.51</v>
      </c>
      <c r="H70" s="11">
        <v>1.87</v>
      </c>
      <c r="I70" s="11">
        <v>400</v>
      </c>
      <c r="J70" s="11">
        <v>83.01</v>
      </c>
      <c r="K70" s="11">
        <v>400</v>
      </c>
      <c r="L70" s="11">
        <v>83.01</v>
      </c>
      <c r="M70" s="11">
        <v>400</v>
      </c>
      <c r="N70" s="11">
        <v>83.01</v>
      </c>
      <c r="O70" s="11"/>
      <c r="P70" s="11"/>
      <c r="Q70" s="8">
        <v>177.3</v>
      </c>
      <c r="R70" s="8">
        <v>268.8</v>
      </c>
      <c r="S70" s="11"/>
      <c r="T70" s="12"/>
      <c r="U70" s="11"/>
      <c r="V70" s="11" t="s">
        <v>1222</v>
      </c>
    </row>
    <row r="71" spans="1:22" x14ac:dyDescent="0.3">
      <c r="B71" s="11" t="s">
        <v>837</v>
      </c>
      <c r="C71" s="11">
        <v>1.2</v>
      </c>
      <c r="D71" s="11" t="s">
        <v>838</v>
      </c>
      <c r="E71" s="11">
        <v>84.86</v>
      </c>
      <c r="F71" s="11">
        <v>84.86</v>
      </c>
      <c r="G71" s="11">
        <v>82.55</v>
      </c>
      <c r="H71" s="11">
        <v>2.31</v>
      </c>
      <c r="I71" s="11">
        <v>400</v>
      </c>
      <c r="J71" s="11">
        <v>83.05</v>
      </c>
      <c r="K71" s="11">
        <v>400</v>
      </c>
      <c r="L71" s="11">
        <v>83.05</v>
      </c>
      <c r="M71" s="11">
        <v>200</v>
      </c>
      <c r="N71" s="11">
        <v>83.39</v>
      </c>
      <c r="O71" s="11"/>
      <c r="P71" s="11"/>
      <c r="Q71" s="8">
        <v>127.4</v>
      </c>
      <c r="R71" s="8">
        <v>270.7</v>
      </c>
      <c r="S71" s="11"/>
      <c r="T71" s="12"/>
      <c r="U71" s="11"/>
      <c r="V71" s="11" t="s">
        <v>1222</v>
      </c>
    </row>
    <row r="72" spans="1:22" x14ac:dyDescent="0.3">
      <c r="B72" s="11" t="s">
        <v>839</v>
      </c>
      <c r="C72" s="11">
        <v>1.5</v>
      </c>
      <c r="D72" s="11" t="s">
        <v>1182</v>
      </c>
      <c r="E72" s="11">
        <v>84.2</v>
      </c>
      <c r="F72" s="11">
        <v>84.2</v>
      </c>
      <c r="G72" s="11">
        <v>82.57</v>
      </c>
      <c r="H72" s="11">
        <v>1.63</v>
      </c>
      <c r="I72" s="11">
        <v>400</v>
      </c>
      <c r="J72" s="11">
        <v>83.07</v>
      </c>
      <c r="K72" s="11"/>
      <c r="L72" s="11"/>
      <c r="M72" s="11"/>
      <c r="N72" s="11"/>
      <c r="O72" s="11"/>
      <c r="P72" s="11"/>
      <c r="Q72" s="8"/>
      <c r="R72" s="8"/>
      <c r="S72" s="8"/>
      <c r="T72" s="12">
        <v>83.43</v>
      </c>
      <c r="U72" s="11">
        <v>2</v>
      </c>
      <c r="V72" s="11" t="s">
        <v>1222</v>
      </c>
    </row>
    <row r="73" spans="1:22" x14ac:dyDescent="0.3">
      <c r="B73" s="11" t="s">
        <v>840</v>
      </c>
      <c r="C73" s="11">
        <v>1.5</v>
      </c>
      <c r="D73" s="11" t="s">
        <v>841</v>
      </c>
      <c r="E73" s="11">
        <v>83.88</v>
      </c>
      <c r="F73" s="11">
        <v>83.88</v>
      </c>
      <c r="G73" s="11">
        <v>82.53</v>
      </c>
      <c r="H73" s="11">
        <v>1.35</v>
      </c>
      <c r="I73" s="11">
        <v>400</v>
      </c>
      <c r="J73" s="11">
        <v>83.03</v>
      </c>
      <c r="K73" s="11"/>
      <c r="L73" s="11"/>
      <c r="M73" s="11"/>
      <c r="N73" s="11"/>
      <c r="O73" s="11"/>
      <c r="P73" s="11"/>
      <c r="Q73" s="8"/>
      <c r="R73" s="8"/>
      <c r="S73" s="8"/>
      <c r="T73" s="12">
        <v>83.03</v>
      </c>
      <c r="U73" s="11">
        <v>2</v>
      </c>
      <c r="V73" s="11" t="s">
        <v>1222</v>
      </c>
    </row>
    <row r="74" spans="1:22" x14ac:dyDescent="0.3">
      <c r="B74" s="11" t="s">
        <v>842</v>
      </c>
      <c r="C74" s="11">
        <v>1.2</v>
      </c>
      <c r="D74" s="11" t="s">
        <v>843</v>
      </c>
      <c r="E74" s="11">
        <v>91.33</v>
      </c>
      <c r="F74" s="11">
        <v>91.33</v>
      </c>
      <c r="G74" s="11">
        <v>89.66</v>
      </c>
      <c r="H74" s="11">
        <v>1.67</v>
      </c>
      <c r="I74" s="11">
        <v>250</v>
      </c>
      <c r="J74" s="11">
        <v>90.16</v>
      </c>
      <c r="K74" s="11">
        <v>200</v>
      </c>
      <c r="L74" s="11">
        <v>90.16</v>
      </c>
      <c r="M74" s="11">
        <v>200</v>
      </c>
      <c r="N74" s="11">
        <v>90.16</v>
      </c>
      <c r="O74" s="11"/>
      <c r="P74" s="11"/>
      <c r="Q74" s="8">
        <v>225.4</v>
      </c>
      <c r="R74" s="8">
        <v>264</v>
      </c>
      <c r="S74" s="11"/>
      <c r="T74" s="12"/>
      <c r="U74" s="11"/>
      <c r="V74" s="11" t="s">
        <v>1222</v>
      </c>
    </row>
    <row r="75" spans="1:22" x14ac:dyDescent="0.3">
      <c r="B75" s="11" t="s">
        <v>844</v>
      </c>
      <c r="C75" s="11">
        <v>1.2</v>
      </c>
      <c r="D75" s="11" t="s">
        <v>845</v>
      </c>
      <c r="E75" s="11">
        <v>90.82</v>
      </c>
      <c r="F75" s="11">
        <v>90.82</v>
      </c>
      <c r="G75" s="11">
        <v>89.53</v>
      </c>
      <c r="H75" s="11">
        <v>1.29</v>
      </c>
      <c r="I75" s="11">
        <v>250</v>
      </c>
      <c r="J75" s="11">
        <v>90.03</v>
      </c>
      <c r="K75" s="11">
        <v>200</v>
      </c>
      <c r="L75" s="11">
        <v>90.03</v>
      </c>
      <c r="M75" s="11">
        <v>250</v>
      </c>
      <c r="N75" s="11">
        <v>90.03</v>
      </c>
      <c r="O75" s="11"/>
      <c r="P75" s="11"/>
      <c r="Q75" s="8">
        <v>238.5</v>
      </c>
      <c r="R75" s="8">
        <v>120</v>
      </c>
      <c r="S75" s="11"/>
      <c r="T75" s="12"/>
      <c r="U75" s="11"/>
      <c r="V75" s="11" t="s">
        <v>1222</v>
      </c>
    </row>
    <row r="76" spans="1:22" x14ac:dyDescent="0.3">
      <c r="B76" s="11" t="s">
        <v>846</v>
      </c>
      <c r="C76" s="11">
        <v>1.2</v>
      </c>
      <c r="D76" s="11" t="s">
        <v>847</v>
      </c>
      <c r="E76" s="11">
        <v>82.89</v>
      </c>
      <c r="F76" s="11">
        <v>82.89</v>
      </c>
      <c r="G76" s="11">
        <v>80.52</v>
      </c>
      <c r="H76" s="11">
        <v>2.37</v>
      </c>
      <c r="I76" s="11">
        <v>400</v>
      </c>
      <c r="J76" s="11">
        <v>81.02</v>
      </c>
      <c r="K76" s="11">
        <v>400</v>
      </c>
      <c r="L76" s="11">
        <v>81.02</v>
      </c>
      <c r="M76" s="11"/>
      <c r="N76" s="11"/>
      <c r="O76" s="11"/>
      <c r="P76" s="11"/>
      <c r="Q76" s="8">
        <v>149.5</v>
      </c>
      <c r="R76" s="8"/>
      <c r="S76" s="11"/>
      <c r="T76" s="12"/>
      <c r="U76" s="11"/>
      <c r="V76" s="11" t="s">
        <v>1222</v>
      </c>
    </row>
    <row r="77" spans="1:22" x14ac:dyDescent="0.3">
      <c r="B77" s="18" t="s">
        <v>848</v>
      </c>
      <c r="C77" s="11">
        <v>1.5</v>
      </c>
      <c r="D77" s="11" t="s">
        <v>1183</v>
      </c>
      <c r="E77" s="11">
        <v>84.64</v>
      </c>
      <c r="F77" s="11">
        <v>84.64</v>
      </c>
      <c r="G77" s="11">
        <v>81.19</v>
      </c>
      <c r="H77" s="11">
        <v>3.45</v>
      </c>
      <c r="I77" s="11">
        <v>400</v>
      </c>
      <c r="J77" s="11">
        <v>81.69</v>
      </c>
      <c r="K77" s="11">
        <v>400</v>
      </c>
      <c r="L77" s="11">
        <v>81.69</v>
      </c>
      <c r="M77" s="11">
        <v>250</v>
      </c>
      <c r="N77" s="11">
        <v>83.62</v>
      </c>
      <c r="O77" s="11"/>
      <c r="P77" s="11"/>
      <c r="Q77" s="8">
        <v>117.4</v>
      </c>
      <c r="R77" s="8">
        <v>125.9</v>
      </c>
      <c r="S77" s="8"/>
      <c r="T77" s="12">
        <v>81.69</v>
      </c>
      <c r="U77" s="11">
        <v>1</v>
      </c>
      <c r="V77" s="11" t="s">
        <v>1222</v>
      </c>
    </row>
    <row r="78" spans="1:22" x14ac:dyDescent="0.3">
      <c r="B78" s="18" t="s">
        <v>849</v>
      </c>
      <c r="C78" s="11">
        <v>1.5</v>
      </c>
      <c r="D78" s="11" t="s">
        <v>1184</v>
      </c>
      <c r="E78" s="11">
        <v>82.66</v>
      </c>
      <c r="F78" s="11">
        <v>82.69</v>
      </c>
      <c r="G78" s="11">
        <v>81.34</v>
      </c>
      <c r="H78" s="11">
        <v>1.35</v>
      </c>
      <c r="I78" s="11">
        <v>400</v>
      </c>
      <c r="J78" s="11">
        <v>81.84</v>
      </c>
      <c r="K78" s="11"/>
      <c r="L78" s="11"/>
      <c r="M78" s="11"/>
      <c r="N78" s="11"/>
      <c r="O78" s="11"/>
      <c r="P78" s="11"/>
      <c r="Q78" s="8"/>
      <c r="R78" s="8"/>
      <c r="S78" s="8"/>
      <c r="T78" s="12">
        <v>81.849999999999994</v>
      </c>
      <c r="U78" s="11">
        <v>1</v>
      </c>
      <c r="V78" s="11" t="s">
        <v>1223</v>
      </c>
    </row>
    <row r="79" spans="1:22" x14ac:dyDescent="0.3">
      <c r="B79" s="11" t="s">
        <v>850</v>
      </c>
      <c r="C79" s="11">
        <v>1.2</v>
      </c>
      <c r="D79" s="11" t="s">
        <v>851</v>
      </c>
      <c r="E79" s="11">
        <v>76.680000000000007</v>
      </c>
      <c r="F79" s="11">
        <v>76.680000000000007</v>
      </c>
      <c r="G79" s="11">
        <v>74.56</v>
      </c>
      <c r="H79" s="11">
        <v>2.12</v>
      </c>
      <c r="I79" s="11">
        <v>200</v>
      </c>
      <c r="J79" s="11">
        <v>75.06</v>
      </c>
      <c r="K79" s="11">
        <v>200</v>
      </c>
      <c r="L79" s="11">
        <v>75.06</v>
      </c>
      <c r="M79" s="11"/>
      <c r="N79" s="11"/>
      <c r="O79" s="11"/>
      <c r="P79" s="11"/>
      <c r="Q79" s="8">
        <v>233.9</v>
      </c>
      <c r="R79" s="8"/>
      <c r="S79" s="8"/>
      <c r="T79" s="12"/>
      <c r="U79" s="11"/>
      <c r="V79" s="11" t="s">
        <v>1222</v>
      </c>
    </row>
    <row r="80" spans="1:22" x14ac:dyDescent="0.3">
      <c r="B80" s="11" t="s">
        <v>852</v>
      </c>
      <c r="C80" s="11">
        <v>1.2</v>
      </c>
      <c r="D80" s="11" t="s">
        <v>1202</v>
      </c>
      <c r="E80" s="11">
        <v>77.930000000000007</v>
      </c>
      <c r="F80" s="11">
        <v>77.930000000000007</v>
      </c>
      <c r="G80" s="11">
        <v>76.61</v>
      </c>
      <c r="H80" s="11">
        <v>1.32</v>
      </c>
      <c r="I80" s="11">
        <v>200</v>
      </c>
      <c r="J80" s="11">
        <v>77.11</v>
      </c>
      <c r="K80" s="11">
        <v>200</v>
      </c>
      <c r="L80" s="11">
        <v>77.11</v>
      </c>
      <c r="M80" s="11"/>
      <c r="N80" s="11"/>
      <c r="O80" s="11"/>
      <c r="P80" s="11"/>
      <c r="Q80" s="8">
        <v>252.5</v>
      </c>
      <c r="R80" s="8"/>
      <c r="S80" s="8"/>
      <c r="T80" s="12"/>
      <c r="U80" s="11"/>
      <c r="V80" s="11" t="s">
        <v>1222</v>
      </c>
    </row>
    <row r="81" spans="1:22" x14ac:dyDescent="0.3">
      <c r="B81" s="11" t="s">
        <v>35</v>
      </c>
      <c r="C81" s="11">
        <v>1.5</v>
      </c>
      <c r="D81" s="11" t="s">
        <v>1185</v>
      </c>
      <c r="E81" s="11">
        <v>61.28</v>
      </c>
      <c r="F81" s="11">
        <v>61.28</v>
      </c>
      <c r="G81" s="11">
        <v>59.21</v>
      </c>
      <c r="H81" s="11">
        <v>2.0699999999999998</v>
      </c>
      <c r="I81" s="11">
        <v>500</v>
      </c>
      <c r="J81" s="11">
        <v>59.71</v>
      </c>
      <c r="K81" s="11"/>
      <c r="L81" s="11"/>
      <c r="M81" s="11"/>
      <c r="N81" s="11"/>
      <c r="O81" s="11"/>
      <c r="P81" s="11"/>
      <c r="Q81" s="8"/>
      <c r="R81" s="8"/>
      <c r="S81" s="8"/>
      <c r="T81" s="12">
        <v>59.71</v>
      </c>
      <c r="U81" s="11">
        <v>2</v>
      </c>
      <c r="V81" s="11" t="s">
        <v>1222</v>
      </c>
    </row>
    <row r="82" spans="1:22" x14ac:dyDescent="0.3">
      <c r="B82" s="11" t="s">
        <v>37</v>
      </c>
      <c r="C82" s="11">
        <v>1.5</v>
      </c>
      <c r="D82" s="11" t="s">
        <v>1203</v>
      </c>
      <c r="E82" s="11">
        <v>59</v>
      </c>
      <c r="F82" s="11">
        <v>59</v>
      </c>
      <c r="G82" s="11">
        <v>57.55</v>
      </c>
      <c r="H82" s="11">
        <v>1.45</v>
      </c>
      <c r="I82" s="11">
        <v>500</v>
      </c>
      <c r="J82" s="11">
        <v>58.05</v>
      </c>
      <c r="K82" s="11"/>
      <c r="L82" s="11"/>
      <c r="M82" s="11"/>
      <c r="N82" s="11"/>
      <c r="O82" s="11"/>
      <c r="P82" s="11"/>
      <c r="Q82" s="8"/>
      <c r="R82" s="8"/>
      <c r="S82" s="8"/>
      <c r="T82" s="12">
        <v>58.2</v>
      </c>
      <c r="U82" s="11">
        <v>1</v>
      </c>
      <c r="V82" s="11" t="s">
        <v>1222</v>
      </c>
    </row>
    <row r="83" spans="1:22" x14ac:dyDescent="0.3">
      <c r="B83" s="11" t="s">
        <v>39</v>
      </c>
      <c r="C83" s="11">
        <v>1.5</v>
      </c>
      <c r="D83" s="11" t="s">
        <v>1204</v>
      </c>
      <c r="E83" s="11">
        <v>51.38</v>
      </c>
      <c r="F83" s="11">
        <v>51.38</v>
      </c>
      <c r="G83" s="11">
        <v>50.03</v>
      </c>
      <c r="H83" s="11">
        <v>1.35</v>
      </c>
      <c r="I83" s="11">
        <v>400</v>
      </c>
      <c r="J83" s="11">
        <v>50.53</v>
      </c>
      <c r="K83" s="11"/>
      <c r="L83" s="11"/>
      <c r="M83" s="11"/>
      <c r="N83" s="11"/>
      <c r="O83" s="11"/>
      <c r="P83" s="11"/>
      <c r="Q83" s="8"/>
      <c r="R83" s="8"/>
      <c r="S83" s="8"/>
      <c r="T83" s="12">
        <v>50.59</v>
      </c>
      <c r="U83" s="11">
        <v>1</v>
      </c>
      <c r="V83" s="11" t="s">
        <v>1222</v>
      </c>
    </row>
    <row r="84" spans="1:22" x14ac:dyDescent="0.3">
      <c r="A84" s="54"/>
      <c r="B84" s="18" t="s">
        <v>853</v>
      </c>
      <c r="C84" s="11">
        <v>1.2</v>
      </c>
      <c r="D84" s="11" t="s">
        <v>854</v>
      </c>
      <c r="E84" s="11">
        <v>53.57</v>
      </c>
      <c r="F84" s="11">
        <v>53.57</v>
      </c>
      <c r="G84" s="11">
        <v>51.07</v>
      </c>
      <c r="H84" s="11">
        <v>2.5</v>
      </c>
      <c r="I84" s="11">
        <v>400</v>
      </c>
      <c r="J84" s="11">
        <v>51.57</v>
      </c>
      <c r="K84" s="11">
        <v>400</v>
      </c>
      <c r="L84" s="11">
        <v>51.57</v>
      </c>
      <c r="M84" s="11">
        <v>200</v>
      </c>
      <c r="N84" s="11">
        <v>52.07</v>
      </c>
      <c r="O84" s="11"/>
      <c r="P84" s="11"/>
      <c r="Q84" s="8">
        <v>218</v>
      </c>
      <c r="R84" s="8">
        <v>127.7</v>
      </c>
      <c r="S84" s="11"/>
      <c r="T84" s="12"/>
      <c r="U84" s="11"/>
      <c r="V84" s="11" t="s">
        <v>1222</v>
      </c>
    </row>
    <row r="85" spans="1:22" x14ac:dyDescent="0.3">
      <c r="A85" s="54"/>
      <c r="B85" s="18" t="s">
        <v>855</v>
      </c>
      <c r="C85" s="11">
        <v>1.2</v>
      </c>
      <c r="D85" s="11" t="s">
        <v>856</v>
      </c>
      <c r="E85" s="11">
        <v>53.66</v>
      </c>
      <c r="F85" s="11">
        <v>53.66</v>
      </c>
      <c r="G85" s="11">
        <v>51.08</v>
      </c>
      <c r="H85" s="11">
        <v>2.58</v>
      </c>
      <c r="I85" s="11">
        <v>400</v>
      </c>
      <c r="J85" s="11">
        <v>51.58</v>
      </c>
      <c r="K85" s="11">
        <v>400</v>
      </c>
      <c r="L85" s="11">
        <v>51.58</v>
      </c>
      <c r="M85" s="11"/>
      <c r="N85" s="11"/>
      <c r="O85" s="11"/>
      <c r="P85" s="11"/>
      <c r="Q85" s="8">
        <v>90.5</v>
      </c>
      <c r="R85" s="8"/>
      <c r="S85" s="11"/>
      <c r="T85" s="12"/>
      <c r="U85" s="11"/>
      <c r="V85" s="11" t="s">
        <v>1222</v>
      </c>
    </row>
    <row r="86" spans="1:22" x14ac:dyDescent="0.3">
      <c r="B86" s="18" t="s">
        <v>857</v>
      </c>
      <c r="C86" s="11">
        <v>1.5</v>
      </c>
      <c r="D86" s="11" t="s">
        <v>858</v>
      </c>
      <c r="E86" s="11">
        <v>54.37</v>
      </c>
      <c r="F86" s="11">
        <v>54.37</v>
      </c>
      <c r="G86" s="11">
        <v>52.37</v>
      </c>
      <c r="H86" s="11">
        <v>2</v>
      </c>
      <c r="I86" s="11">
        <v>1000</v>
      </c>
      <c r="J86" s="11">
        <v>52.87</v>
      </c>
      <c r="K86" s="11">
        <v>600</v>
      </c>
      <c r="L86" s="11">
        <v>52.87</v>
      </c>
      <c r="M86" s="11"/>
      <c r="N86" s="11"/>
      <c r="O86" s="11"/>
      <c r="P86" s="11"/>
      <c r="Q86" s="8">
        <v>180.7</v>
      </c>
      <c r="R86" s="8"/>
      <c r="S86" s="8"/>
      <c r="T86" s="12">
        <v>52.87</v>
      </c>
      <c r="U86" s="11">
        <v>1</v>
      </c>
      <c r="V86" s="11" t="s">
        <v>1222</v>
      </c>
    </row>
    <row r="87" spans="1:22" x14ac:dyDescent="0.3">
      <c r="A87" s="54"/>
      <c r="B87" s="18" t="s">
        <v>859</v>
      </c>
      <c r="C87" s="11">
        <v>1.5</v>
      </c>
      <c r="D87" s="11" t="s">
        <v>860</v>
      </c>
      <c r="E87" s="11">
        <v>55.02</v>
      </c>
      <c r="F87" s="11">
        <v>55.02</v>
      </c>
      <c r="G87" s="11">
        <v>53.42</v>
      </c>
      <c r="H87" s="11">
        <v>1.6</v>
      </c>
      <c r="I87" s="11">
        <v>600</v>
      </c>
      <c r="J87" s="11">
        <v>53.92</v>
      </c>
      <c r="K87" s="11"/>
      <c r="L87" s="11"/>
      <c r="M87" s="11"/>
      <c r="N87" s="11"/>
      <c r="O87" s="11"/>
      <c r="P87" s="11"/>
      <c r="Q87" s="8"/>
      <c r="R87" s="8"/>
      <c r="S87" s="11"/>
      <c r="T87" s="12">
        <v>53.92</v>
      </c>
      <c r="U87" s="11">
        <v>1</v>
      </c>
      <c r="V87" s="11" t="s">
        <v>1222</v>
      </c>
    </row>
    <row r="88" spans="1:22" x14ac:dyDescent="0.3">
      <c r="B88" s="18" t="s">
        <v>861</v>
      </c>
      <c r="C88" s="11">
        <v>1.2</v>
      </c>
      <c r="D88" s="11" t="s">
        <v>862</v>
      </c>
      <c r="E88" s="11">
        <v>50.13</v>
      </c>
      <c r="F88" s="11">
        <v>50.13</v>
      </c>
      <c r="G88" s="11">
        <v>48.1</v>
      </c>
      <c r="H88" s="11">
        <v>2.0299999999999998</v>
      </c>
      <c r="I88" s="11">
        <v>500</v>
      </c>
      <c r="J88" s="11">
        <v>48.6</v>
      </c>
      <c r="K88" s="11">
        <v>500</v>
      </c>
      <c r="L88" s="11">
        <v>48.6</v>
      </c>
      <c r="M88" s="11"/>
      <c r="N88" s="11"/>
      <c r="O88" s="11"/>
      <c r="P88" s="11"/>
      <c r="Q88" s="8">
        <v>270.5</v>
      </c>
      <c r="R88" s="8"/>
      <c r="S88" s="11"/>
      <c r="T88" s="12"/>
      <c r="U88" s="11"/>
      <c r="V88" s="11" t="s">
        <v>1222</v>
      </c>
    </row>
    <row r="89" spans="1:22" x14ac:dyDescent="0.3">
      <c r="B89" s="11" t="s">
        <v>863</v>
      </c>
      <c r="C89" s="11">
        <v>1.2</v>
      </c>
      <c r="D89" s="11" t="s">
        <v>864</v>
      </c>
      <c r="E89" s="11">
        <v>50.17</v>
      </c>
      <c r="F89" s="11">
        <v>50.17</v>
      </c>
      <c r="G89" s="11">
        <v>47.69</v>
      </c>
      <c r="H89" s="11">
        <v>2.48</v>
      </c>
      <c r="I89" s="11">
        <v>500</v>
      </c>
      <c r="J89" s="11">
        <v>48.69</v>
      </c>
      <c r="K89" s="11">
        <v>500</v>
      </c>
      <c r="L89" s="11">
        <v>48.69</v>
      </c>
      <c r="M89" s="11"/>
      <c r="N89" s="11"/>
      <c r="O89" s="11"/>
      <c r="P89" s="11"/>
      <c r="Q89" s="8">
        <v>176.3</v>
      </c>
      <c r="R89" s="8"/>
      <c r="S89" s="8"/>
      <c r="T89" s="12"/>
      <c r="U89" s="11"/>
      <c r="V89" s="11" t="s">
        <v>1222</v>
      </c>
    </row>
    <row r="90" spans="1:22" x14ac:dyDescent="0.3">
      <c r="B90" s="18" t="s">
        <v>865</v>
      </c>
      <c r="C90" s="11">
        <v>1.5</v>
      </c>
      <c r="D90" s="11" t="s">
        <v>1205</v>
      </c>
      <c r="E90" s="11">
        <v>50.24</v>
      </c>
      <c r="F90" s="11">
        <v>50.24</v>
      </c>
      <c r="G90" s="11">
        <v>48.34</v>
      </c>
      <c r="H90" s="11">
        <v>1.9</v>
      </c>
      <c r="I90" s="11">
        <v>500</v>
      </c>
      <c r="J90" s="11">
        <v>48.84</v>
      </c>
      <c r="K90" s="11">
        <v>500</v>
      </c>
      <c r="L90" s="11">
        <v>48.84</v>
      </c>
      <c r="M90" s="11"/>
      <c r="N90" s="11"/>
      <c r="O90" s="11"/>
      <c r="P90" s="11"/>
      <c r="Q90" s="8">
        <v>181.3</v>
      </c>
      <c r="R90" s="8"/>
      <c r="S90" s="8"/>
      <c r="T90" s="12"/>
      <c r="U90" s="11"/>
      <c r="V90" s="11" t="s">
        <v>1222</v>
      </c>
    </row>
    <row r="91" spans="1:22" x14ac:dyDescent="0.3">
      <c r="B91" s="18" t="s">
        <v>866</v>
      </c>
      <c r="C91" s="11">
        <v>1.2</v>
      </c>
      <c r="D91" s="11" t="s">
        <v>1206</v>
      </c>
      <c r="E91" s="11">
        <v>54.35</v>
      </c>
      <c r="F91" s="11">
        <v>54.35</v>
      </c>
      <c r="G91" s="11">
        <v>48.95</v>
      </c>
      <c r="H91" s="11">
        <v>5.4</v>
      </c>
      <c r="I91" s="11">
        <v>500</v>
      </c>
      <c r="J91" s="11">
        <v>48.95</v>
      </c>
      <c r="K91" s="11">
        <v>500</v>
      </c>
      <c r="L91" s="11">
        <v>48.95</v>
      </c>
      <c r="M91" s="11">
        <v>200</v>
      </c>
      <c r="N91" s="11">
        <v>52.61</v>
      </c>
      <c r="O91" s="11"/>
      <c r="P91" s="11"/>
      <c r="Q91" s="8">
        <v>180</v>
      </c>
      <c r="R91" s="8">
        <v>253.7</v>
      </c>
      <c r="S91" s="8"/>
      <c r="T91" s="12"/>
      <c r="U91" s="11"/>
      <c r="V91" s="11" t="s">
        <v>1222</v>
      </c>
    </row>
    <row r="92" spans="1:22" x14ac:dyDescent="0.3">
      <c r="B92" s="18" t="s">
        <v>867</v>
      </c>
      <c r="C92" s="11">
        <v>1.5</v>
      </c>
      <c r="D92" s="11" t="s">
        <v>1207</v>
      </c>
      <c r="E92" s="11">
        <v>50.12</v>
      </c>
      <c r="F92" s="11">
        <v>50.12</v>
      </c>
      <c r="G92" s="11">
        <v>48.65</v>
      </c>
      <c r="H92" s="11">
        <v>1.47</v>
      </c>
      <c r="I92" s="11">
        <v>500</v>
      </c>
      <c r="J92" s="11">
        <v>49.15</v>
      </c>
      <c r="K92" s="11"/>
      <c r="L92" s="11"/>
      <c r="M92" s="11"/>
      <c r="N92" s="11"/>
      <c r="O92" s="11"/>
      <c r="P92" s="11"/>
      <c r="Q92" s="8"/>
      <c r="R92" s="8"/>
      <c r="S92" s="8"/>
      <c r="T92" s="12">
        <v>49.45</v>
      </c>
      <c r="U92" s="11">
        <v>1</v>
      </c>
      <c r="V92" s="11" t="s">
        <v>1222</v>
      </c>
    </row>
    <row r="93" spans="1:22" x14ac:dyDescent="0.3">
      <c r="A93" s="54"/>
      <c r="B93" s="18" t="s">
        <v>868</v>
      </c>
      <c r="C93" s="11">
        <v>1.2</v>
      </c>
      <c r="D93" s="11" t="s">
        <v>869</v>
      </c>
      <c r="E93" s="11">
        <v>47.58</v>
      </c>
      <c r="F93" s="11">
        <v>47.58</v>
      </c>
      <c r="G93" s="11">
        <v>46.22</v>
      </c>
      <c r="H93" s="11">
        <v>1.36</v>
      </c>
      <c r="I93" s="11">
        <v>400</v>
      </c>
      <c r="J93" s="11">
        <v>46.72</v>
      </c>
      <c r="K93" s="11">
        <v>400</v>
      </c>
      <c r="L93" s="11">
        <v>46.72</v>
      </c>
      <c r="M93" s="11"/>
      <c r="N93" s="11"/>
      <c r="O93" s="11"/>
      <c r="P93" s="11"/>
      <c r="Q93" s="8">
        <v>243.4</v>
      </c>
      <c r="R93" s="8"/>
      <c r="S93" s="11"/>
      <c r="T93" s="12"/>
      <c r="U93" s="11"/>
      <c r="V93" s="11" t="s">
        <v>1222</v>
      </c>
    </row>
    <row r="94" spans="1:22" x14ac:dyDescent="0.3">
      <c r="A94" s="54"/>
      <c r="B94" s="18" t="s">
        <v>870</v>
      </c>
      <c r="C94" s="11">
        <v>1.2</v>
      </c>
      <c r="D94" s="11" t="s">
        <v>767</v>
      </c>
      <c r="E94" s="11">
        <v>47.8</v>
      </c>
      <c r="F94" s="11">
        <v>47.8</v>
      </c>
      <c r="G94" s="11">
        <v>46.27</v>
      </c>
      <c r="H94" s="11">
        <v>1.53</v>
      </c>
      <c r="I94" s="11">
        <v>400</v>
      </c>
      <c r="J94" s="11">
        <v>46.77</v>
      </c>
      <c r="K94" s="11">
        <v>400</v>
      </c>
      <c r="L94" s="11">
        <v>46.77</v>
      </c>
      <c r="M94" s="11"/>
      <c r="N94" s="11"/>
      <c r="O94" s="11"/>
      <c r="P94" s="11"/>
      <c r="Q94" s="8">
        <v>121.2</v>
      </c>
      <c r="R94" s="8"/>
      <c r="S94" s="11"/>
      <c r="T94" s="12"/>
      <c r="U94" s="11"/>
      <c r="V94" s="11" t="s">
        <v>1222</v>
      </c>
    </row>
    <row r="95" spans="1:22" x14ac:dyDescent="0.3">
      <c r="B95" s="11" t="s">
        <v>871</v>
      </c>
      <c r="C95" s="11">
        <v>1.5</v>
      </c>
      <c r="D95" s="11" t="s">
        <v>864</v>
      </c>
      <c r="E95" s="11">
        <v>48</v>
      </c>
      <c r="F95" s="11">
        <v>48</v>
      </c>
      <c r="G95" s="11">
        <v>45.78</v>
      </c>
      <c r="H95" s="11">
        <v>2.2200000000000002</v>
      </c>
      <c r="I95" s="11">
        <v>400</v>
      </c>
      <c r="J95" s="11">
        <v>46.78</v>
      </c>
      <c r="K95" s="11">
        <v>400</v>
      </c>
      <c r="L95" s="11">
        <v>46.78</v>
      </c>
      <c r="M95" s="11"/>
      <c r="N95" s="11"/>
      <c r="O95" s="11"/>
      <c r="P95" s="11"/>
      <c r="Q95" s="8">
        <v>180</v>
      </c>
      <c r="R95" s="8"/>
      <c r="S95" s="11"/>
      <c r="T95" s="12"/>
      <c r="U95" s="11"/>
      <c r="V95" s="11" t="s">
        <v>1222</v>
      </c>
    </row>
    <row r="96" spans="1:22" x14ac:dyDescent="0.3">
      <c r="A96" s="54"/>
      <c r="B96" s="18" t="s">
        <v>872</v>
      </c>
      <c r="C96" s="11">
        <v>1.5</v>
      </c>
      <c r="D96" s="11" t="s">
        <v>873</v>
      </c>
      <c r="E96" s="11">
        <v>48</v>
      </c>
      <c r="F96" s="11">
        <v>48</v>
      </c>
      <c r="G96" s="11">
        <v>46.3</v>
      </c>
      <c r="H96" s="11">
        <v>1.7</v>
      </c>
      <c r="I96" s="11">
        <v>400</v>
      </c>
      <c r="J96" s="11">
        <v>46.8</v>
      </c>
      <c r="K96" s="11">
        <v>400</v>
      </c>
      <c r="L96" s="11">
        <v>46.8</v>
      </c>
      <c r="M96" s="11"/>
      <c r="N96" s="11"/>
      <c r="O96" s="11"/>
      <c r="P96" s="11"/>
      <c r="Q96" s="8">
        <v>88.2</v>
      </c>
      <c r="R96" s="8"/>
      <c r="S96" s="11"/>
      <c r="T96" s="12">
        <v>47.33</v>
      </c>
      <c r="U96" s="11">
        <v>1</v>
      </c>
      <c r="V96" s="11" t="s">
        <v>1222</v>
      </c>
    </row>
    <row r="97" spans="1:23" x14ac:dyDescent="0.3">
      <c r="A97" s="53"/>
      <c r="B97" s="18" t="s">
        <v>874</v>
      </c>
      <c r="C97" s="11">
        <v>1.5</v>
      </c>
      <c r="D97" s="11" t="s">
        <v>875</v>
      </c>
      <c r="E97" s="11">
        <v>48.27</v>
      </c>
      <c r="F97" s="11">
        <v>48.27</v>
      </c>
      <c r="G97" s="11">
        <v>46.35</v>
      </c>
      <c r="H97" s="11">
        <v>1.92</v>
      </c>
      <c r="I97" s="11">
        <v>400</v>
      </c>
      <c r="J97" s="11">
        <v>46.85</v>
      </c>
      <c r="K97" s="11">
        <v>400</v>
      </c>
      <c r="L97" s="11">
        <v>46.85</v>
      </c>
      <c r="M97" s="11"/>
      <c r="N97" s="11"/>
      <c r="O97" s="11"/>
      <c r="P97" s="11"/>
      <c r="Q97" s="8">
        <v>180.7</v>
      </c>
      <c r="R97" s="8"/>
      <c r="S97" s="11"/>
      <c r="T97" s="12">
        <v>47.26</v>
      </c>
      <c r="U97" s="11">
        <v>2</v>
      </c>
      <c r="V97" s="11" t="s">
        <v>1222</v>
      </c>
    </row>
    <row r="98" spans="1:23" x14ac:dyDescent="0.3">
      <c r="A98" s="54"/>
      <c r="B98" s="18" t="s">
        <v>876</v>
      </c>
      <c r="C98" s="11">
        <v>1.5</v>
      </c>
      <c r="D98" s="11" t="s">
        <v>877</v>
      </c>
      <c r="E98" s="11">
        <v>48.57</v>
      </c>
      <c r="F98" s="11">
        <v>48.57</v>
      </c>
      <c r="G98" s="11">
        <v>46.77</v>
      </c>
      <c r="H98" s="11">
        <v>1.8</v>
      </c>
      <c r="I98" s="11">
        <v>400</v>
      </c>
      <c r="J98" s="11">
        <v>47.27</v>
      </c>
      <c r="K98" s="11"/>
      <c r="L98" s="11"/>
      <c r="M98" s="11"/>
      <c r="N98" s="11"/>
      <c r="O98" s="11"/>
      <c r="P98" s="11"/>
      <c r="Q98" s="8"/>
      <c r="R98" s="8"/>
      <c r="S98" s="11"/>
      <c r="T98" s="12">
        <v>47.6</v>
      </c>
      <c r="U98" s="11">
        <v>2</v>
      </c>
      <c r="V98" s="11" t="s">
        <v>1284</v>
      </c>
    </row>
    <row r="99" spans="1:23" x14ac:dyDescent="0.3">
      <c r="A99" s="53"/>
      <c r="B99" s="18" t="s">
        <v>878</v>
      </c>
      <c r="C99" s="11">
        <v>1.2</v>
      </c>
      <c r="D99" s="11" t="s">
        <v>879</v>
      </c>
      <c r="E99" s="11">
        <v>53.61</v>
      </c>
      <c r="F99" s="11">
        <v>53.61</v>
      </c>
      <c r="G99" s="11">
        <v>51.41</v>
      </c>
      <c r="H99" s="11">
        <v>2.2000000000000002</v>
      </c>
      <c r="I99" s="11">
        <v>400</v>
      </c>
      <c r="J99" s="11">
        <v>51.91</v>
      </c>
      <c r="K99" s="11">
        <v>400</v>
      </c>
      <c r="L99" s="11">
        <v>51.91</v>
      </c>
      <c r="M99" s="11"/>
      <c r="N99" s="11"/>
      <c r="O99" s="11"/>
      <c r="P99" s="11"/>
      <c r="Q99" s="8">
        <v>109</v>
      </c>
      <c r="R99" s="8"/>
      <c r="S99" s="11"/>
      <c r="T99" s="12"/>
      <c r="U99" s="11"/>
      <c r="V99" s="11" t="s">
        <v>1222</v>
      </c>
    </row>
    <row r="100" spans="1:23" x14ac:dyDescent="0.3">
      <c r="A100" s="53"/>
      <c r="B100" s="18" t="s">
        <v>880</v>
      </c>
      <c r="C100" s="11">
        <v>1.5</v>
      </c>
      <c r="D100" s="11" t="s">
        <v>881</v>
      </c>
      <c r="E100" s="11">
        <v>53.97</v>
      </c>
      <c r="F100" s="11">
        <v>53.97</v>
      </c>
      <c r="G100" s="11">
        <v>51.74</v>
      </c>
      <c r="H100" s="11">
        <v>2.23</v>
      </c>
      <c r="I100" s="11">
        <v>400</v>
      </c>
      <c r="J100" s="11">
        <v>52.24</v>
      </c>
      <c r="K100" s="11">
        <v>400</v>
      </c>
      <c r="L100" s="11">
        <v>52.24</v>
      </c>
      <c r="M100" s="11"/>
      <c r="N100" s="11"/>
      <c r="O100" s="11"/>
      <c r="P100" s="11"/>
      <c r="Q100" s="8">
        <v>153.6</v>
      </c>
      <c r="R100" s="8"/>
      <c r="S100" s="8"/>
      <c r="T100" s="12">
        <v>53.07</v>
      </c>
      <c r="U100" s="11"/>
      <c r="V100" s="11" t="s">
        <v>1222</v>
      </c>
    </row>
    <row r="101" spans="1:23" x14ac:dyDescent="0.3">
      <c r="A101" s="53"/>
      <c r="B101" s="18" t="s">
        <v>882</v>
      </c>
      <c r="C101" s="11">
        <v>1.5</v>
      </c>
      <c r="D101" s="11" t="s">
        <v>1208</v>
      </c>
      <c r="E101" s="11">
        <v>53.64</v>
      </c>
      <c r="F101" s="11">
        <v>53.65</v>
      </c>
      <c r="G101" s="11">
        <v>52.3</v>
      </c>
      <c r="H101" s="11">
        <v>1.35</v>
      </c>
      <c r="I101" s="11">
        <v>400</v>
      </c>
      <c r="J101" s="11">
        <v>52.8</v>
      </c>
      <c r="K101" s="11"/>
      <c r="L101" s="11"/>
      <c r="M101" s="11"/>
      <c r="N101" s="11"/>
      <c r="O101" s="11"/>
      <c r="P101" s="11"/>
      <c r="Q101" s="8"/>
      <c r="R101" s="8"/>
      <c r="S101" s="8"/>
      <c r="T101" s="12">
        <v>53.11</v>
      </c>
      <c r="U101" s="11">
        <v>1</v>
      </c>
      <c r="V101" s="11" t="s">
        <v>1285</v>
      </c>
    </row>
    <row r="102" spans="1:23" x14ac:dyDescent="0.3">
      <c r="A102" s="53"/>
      <c r="B102" s="18" t="s">
        <v>883</v>
      </c>
      <c r="C102" s="11">
        <v>1.2</v>
      </c>
      <c r="D102" s="11" t="s">
        <v>884</v>
      </c>
      <c r="E102" s="11">
        <v>53.61</v>
      </c>
      <c r="F102" s="11">
        <v>53.61</v>
      </c>
      <c r="G102" s="11">
        <v>51.53</v>
      </c>
      <c r="H102" s="11">
        <v>2.08</v>
      </c>
      <c r="I102" s="11">
        <v>500</v>
      </c>
      <c r="J102" s="11">
        <v>52.03</v>
      </c>
      <c r="K102" s="11">
        <v>500</v>
      </c>
      <c r="L102" s="11">
        <v>52.03</v>
      </c>
      <c r="M102" s="11"/>
      <c r="N102" s="11"/>
      <c r="O102" s="11"/>
      <c r="P102" s="11"/>
      <c r="Q102" s="8">
        <v>180</v>
      </c>
      <c r="R102" s="8"/>
      <c r="S102" s="8"/>
      <c r="T102" s="12"/>
      <c r="U102" s="11"/>
      <c r="V102" s="11" t="s">
        <v>1222</v>
      </c>
    </row>
    <row r="103" spans="1:23" x14ac:dyDescent="0.3">
      <c r="A103" s="53"/>
      <c r="B103" s="18" t="s">
        <v>885</v>
      </c>
      <c r="C103" s="11">
        <v>1.5</v>
      </c>
      <c r="D103" s="11" t="s">
        <v>886</v>
      </c>
      <c r="E103" s="11">
        <v>53.42</v>
      </c>
      <c r="F103" s="11">
        <v>53.42</v>
      </c>
      <c r="G103" s="11">
        <v>51.55</v>
      </c>
      <c r="H103" s="11">
        <v>1.87</v>
      </c>
      <c r="I103" s="11">
        <v>500</v>
      </c>
      <c r="J103" s="11">
        <v>52.05</v>
      </c>
      <c r="K103" s="11">
        <v>500</v>
      </c>
      <c r="L103" s="11">
        <v>52.05</v>
      </c>
      <c r="M103" s="11"/>
      <c r="N103" s="11"/>
      <c r="O103" s="11"/>
      <c r="P103" s="11"/>
      <c r="Q103" s="8">
        <v>264.7</v>
      </c>
      <c r="R103" s="8"/>
      <c r="S103" s="8"/>
      <c r="T103" s="12">
        <v>52.9</v>
      </c>
      <c r="U103" s="11">
        <v>1</v>
      </c>
      <c r="V103" s="11" t="s">
        <v>1222</v>
      </c>
    </row>
    <row r="104" spans="1:23" x14ac:dyDescent="0.3">
      <c r="A104" s="53"/>
      <c r="B104" s="18" t="s">
        <v>887</v>
      </c>
      <c r="C104" s="11">
        <v>1.5</v>
      </c>
      <c r="D104" s="11" t="s">
        <v>1209</v>
      </c>
      <c r="E104" s="11">
        <v>54.66</v>
      </c>
      <c r="F104" s="11">
        <v>54.66</v>
      </c>
      <c r="G104" s="11">
        <v>52.53</v>
      </c>
      <c r="H104" s="11">
        <v>2.13</v>
      </c>
      <c r="I104" s="11">
        <v>500</v>
      </c>
      <c r="J104" s="11">
        <v>53.03</v>
      </c>
      <c r="K104" s="11"/>
      <c r="L104" s="11"/>
      <c r="M104" s="11"/>
      <c r="N104" s="11"/>
      <c r="O104" s="11"/>
      <c r="P104" s="11"/>
      <c r="Q104" s="8"/>
      <c r="R104" s="8"/>
      <c r="S104" s="8"/>
      <c r="T104" s="12">
        <v>53.03</v>
      </c>
      <c r="U104" s="11">
        <v>2</v>
      </c>
      <c r="V104" s="11" t="s">
        <v>1224</v>
      </c>
    </row>
    <row r="105" spans="1:23" x14ac:dyDescent="0.3">
      <c r="B105" s="18" t="s">
        <v>49</v>
      </c>
      <c r="C105" s="11">
        <v>1.5</v>
      </c>
      <c r="D105" s="11" t="s">
        <v>1186</v>
      </c>
      <c r="E105" s="11">
        <v>83.88</v>
      </c>
      <c r="F105" s="11">
        <v>83.88</v>
      </c>
      <c r="G105" s="11">
        <v>82.38</v>
      </c>
      <c r="H105" s="11">
        <v>1.5</v>
      </c>
      <c r="I105" s="11">
        <v>400</v>
      </c>
      <c r="J105" s="11">
        <v>82.88</v>
      </c>
      <c r="K105" s="11"/>
      <c r="L105" s="11"/>
      <c r="M105" s="11"/>
      <c r="N105" s="11"/>
      <c r="O105" s="11"/>
      <c r="P105" s="11"/>
      <c r="Q105" s="8"/>
      <c r="R105" s="8"/>
      <c r="S105" s="8"/>
      <c r="T105" s="12">
        <v>82.9</v>
      </c>
      <c r="U105" s="11">
        <v>2</v>
      </c>
      <c r="V105" s="11" t="s">
        <v>1222</v>
      </c>
    </row>
    <row r="106" spans="1:23" x14ac:dyDescent="0.3">
      <c r="B106" s="18" t="s">
        <v>51</v>
      </c>
      <c r="C106" s="11">
        <v>1.5</v>
      </c>
      <c r="D106" s="11" t="s">
        <v>955</v>
      </c>
      <c r="E106" s="11">
        <v>83.9</v>
      </c>
      <c r="F106" s="11">
        <v>83.9</v>
      </c>
      <c r="G106" s="11">
        <v>82.4</v>
      </c>
      <c r="H106" s="11">
        <v>1.5</v>
      </c>
      <c r="I106" s="11">
        <v>400</v>
      </c>
      <c r="J106" s="11">
        <v>82.9</v>
      </c>
      <c r="K106" s="11"/>
      <c r="L106" s="11"/>
      <c r="M106" s="11"/>
      <c r="N106" s="11"/>
      <c r="O106" s="11"/>
      <c r="P106" s="11"/>
      <c r="Q106" s="8"/>
      <c r="R106" s="8"/>
      <c r="S106" s="8"/>
      <c r="T106" s="12">
        <v>82.9</v>
      </c>
      <c r="U106" s="11">
        <v>2</v>
      </c>
      <c r="V106" s="11" t="s">
        <v>1222</v>
      </c>
    </row>
    <row r="107" spans="1:23" x14ac:dyDescent="0.3">
      <c r="A107" s="53"/>
      <c r="B107" s="11" t="s">
        <v>888</v>
      </c>
      <c r="C107" s="11">
        <v>1.2</v>
      </c>
      <c r="D107" s="11" t="s">
        <v>864</v>
      </c>
      <c r="E107" s="11">
        <v>81.42</v>
      </c>
      <c r="F107" s="11">
        <v>81.42</v>
      </c>
      <c r="G107" s="11">
        <v>79.569999999999993</v>
      </c>
      <c r="H107" s="11">
        <v>1.85</v>
      </c>
      <c r="I107" s="11">
        <v>400</v>
      </c>
      <c r="J107" s="11">
        <v>80.569999999999993</v>
      </c>
      <c r="K107" s="11">
        <v>400</v>
      </c>
      <c r="L107" s="11">
        <v>80.569999999999993</v>
      </c>
      <c r="M107" s="11"/>
      <c r="N107" s="11"/>
      <c r="O107" s="11"/>
      <c r="P107" s="11"/>
      <c r="Q107" s="8">
        <v>180</v>
      </c>
      <c r="R107" s="8"/>
      <c r="S107" s="8"/>
      <c r="T107" s="12"/>
      <c r="U107" s="11"/>
      <c r="V107" s="11" t="s">
        <v>1222</v>
      </c>
    </row>
    <row r="108" spans="1:23" s="5" customFormat="1" x14ac:dyDescent="0.3">
      <c r="A108" s="53"/>
      <c r="B108" s="18" t="s">
        <v>889</v>
      </c>
      <c r="C108" s="11">
        <v>1.2</v>
      </c>
      <c r="D108" s="11" t="s">
        <v>896</v>
      </c>
      <c r="E108" s="11">
        <v>81.42</v>
      </c>
      <c r="F108" s="11">
        <v>81.42</v>
      </c>
      <c r="G108" s="11">
        <v>80.069999999999993</v>
      </c>
      <c r="H108" s="11">
        <v>1.35</v>
      </c>
      <c r="I108" s="11">
        <v>400</v>
      </c>
      <c r="J108" s="11">
        <v>80.569999999999993</v>
      </c>
      <c r="K108" s="11">
        <v>400</v>
      </c>
      <c r="L108" s="11">
        <v>80.569999999999993</v>
      </c>
      <c r="M108" s="11"/>
      <c r="N108" s="11"/>
      <c r="O108" s="11"/>
      <c r="P108" s="11"/>
      <c r="Q108" s="8">
        <v>247.4</v>
      </c>
      <c r="R108" s="8"/>
      <c r="S108" s="8"/>
      <c r="T108" s="9" t="s">
        <v>1172</v>
      </c>
      <c r="U108" s="9" t="s">
        <v>1172</v>
      </c>
      <c r="V108" s="11" t="s">
        <v>1222</v>
      </c>
      <c r="W108" s="1"/>
    </row>
    <row r="109" spans="1:23" x14ac:dyDescent="0.3">
      <c r="A109" s="53"/>
      <c r="B109" s="18" t="s">
        <v>890</v>
      </c>
      <c r="C109" s="11">
        <v>1.5</v>
      </c>
      <c r="D109" s="11" t="s">
        <v>891</v>
      </c>
      <c r="E109" s="11">
        <v>82.01</v>
      </c>
      <c r="F109" s="11">
        <v>82.01</v>
      </c>
      <c r="G109" s="11">
        <v>80.12</v>
      </c>
      <c r="H109" s="11">
        <v>1.89</v>
      </c>
      <c r="I109" s="11">
        <v>400</v>
      </c>
      <c r="J109" s="11">
        <v>80.62</v>
      </c>
      <c r="K109" s="11">
        <v>400</v>
      </c>
      <c r="L109" s="11">
        <v>80.62</v>
      </c>
      <c r="M109" s="11">
        <v>200</v>
      </c>
      <c r="N109" s="11">
        <v>81.3</v>
      </c>
      <c r="O109" s="11"/>
      <c r="P109" s="11"/>
      <c r="Q109" s="8">
        <v>200.1</v>
      </c>
      <c r="R109" s="8">
        <v>188.3</v>
      </c>
      <c r="S109" s="8"/>
      <c r="T109" s="12">
        <v>80.709999999999994</v>
      </c>
      <c r="U109" s="11">
        <v>1</v>
      </c>
      <c r="V109" s="11" t="s">
        <v>1222</v>
      </c>
    </row>
    <row r="110" spans="1:23" x14ac:dyDescent="0.3">
      <c r="A110" s="53"/>
      <c r="B110" s="18" t="s">
        <v>892</v>
      </c>
      <c r="C110" s="11">
        <v>1.5</v>
      </c>
      <c r="D110" s="11" t="s">
        <v>893</v>
      </c>
      <c r="E110" s="11">
        <v>82.23</v>
      </c>
      <c r="F110" s="11">
        <v>82.23</v>
      </c>
      <c r="G110" s="11">
        <v>80.16</v>
      </c>
      <c r="H110" s="11">
        <v>2.0699999999999998</v>
      </c>
      <c r="I110" s="11">
        <v>400</v>
      </c>
      <c r="J110" s="11">
        <v>80.66</v>
      </c>
      <c r="K110" s="11">
        <v>200</v>
      </c>
      <c r="L110" s="11">
        <v>81.3</v>
      </c>
      <c r="M110" s="11"/>
      <c r="N110" s="11"/>
      <c r="O110" s="11"/>
      <c r="P110" s="11"/>
      <c r="Q110" s="8">
        <v>9.5</v>
      </c>
      <c r="R110" s="8"/>
      <c r="S110" s="8"/>
      <c r="T110" s="12">
        <v>80.930000000000007</v>
      </c>
      <c r="U110" s="11">
        <v>1</v>
      </c>
      <c r="V110" s="11" t="s">
        <v>1222</v>
      </c>
    </row>
    <row r="111" spans="1:23" x14ac:dyDescent="0.3">
      <c r="A111" s="53"/>
      <c r="B111" s="11" t="s">
        <v>894</v>
      </c>
      <c r="C111" s="11">
        <v>1.2</v>
      </c>
      <c r="D111" s="11" t="s">
        <v>864</v>
      </c>
      <c r="E111" s="11">
        <v>81.42</v>
      </c>
      <c r="F111" s="11">
        <v>81.42</v>
      </c>
      <c r="G111" s="11">
        <v>79.56</v>
      </c>
      <c r="H111" s="11">
        <v>1.86</v>
      </c>
      <c r="I111" s="11">
        <v>400</v>
      </c>
      <c r="J111" s="11">
        <v>80.56</v>
      </c>
      <c r="K111" s="11">
        <v>400</v>
      </c>
      <c r="L111" s="11">
        <v>80.56</v>
      </c>
      <c r="M111" s="11"/>
      <c r="N111" s="11"/>
      <c r="O111" s="11"/>
      <c r="P111" s="11"/>
      <c r="Q111" s="8">
        <v>180</v>
      </c>
      <c r="R111" s="8"/>
      <c r="S111" s="11"/>
      <c r="T111" s="12"/>
      <c r="U111" s="11"/>
      <c r="V111" s="11" t="s">
        <v>1222</v>
      </c>
    </row>
    <row r="112" spans="1:23" x14ac:dyDescent="0.3">
      <c r="A112" s="53"/>
      <c r="B112" s="18" t="s">
        <v>895</v>
      </c>
      <c r="C112" s="11">
        <v>1.2</v>
      </c>
      <c r="D112" s="11" t="s">
        <v>896</v>
      </c>
      <c r="E112" s="11">
        <v>81.58</v>
      </c>
      <c r="F112" s="11">
        <v>81.58</v>
      </c>
      <c r="G112" s="11">
        <v>80.069999999999993</v>
      </c>
      <c r="H112" s="11">
        <v>1.51</v>
      </c>
      <c r="I112" s="11">
        <v>400</v>
      </c>
      <c r="J112" s="11">
        <v>80.569999999999993</v>
      </c>
      <c r="K112" s="11">
        <v>400</v>
      </c>
      <c r="L112" s="11">
        <v>80.569999999999993</v>
      </c>
      <c r="M112" s="11"/>
      <c r="N112" s="11"/>
      <c r="O112" s="11"/>
      <c r="P112" s="11"/>
      <c r="Q112" s="8">
        <v>115.6</v>
      </c>
      <c r="R112" s="8"/>
      <c r="S112" s="11"/>
      <c r="T112" s="12"/>
      <c r="U112" s="11"/>
      <c r="V112" s="11" t="s">
        <v>1222</v>
      </c>
    </row>
    <row r="113" spans="1:22" x14ac:dyDescent="0.3">
      <c r="A113" s="53"/>
      <c r="B113" s="18" t="s">
        <v>897</v>
      </c>
      <c r="C113" s="11">
        <v>1.5</v>
      </c>
      <c r="D113" s="11" t="s">
        <v>898</v>
      </c>
      <c r="E113" s="11">
        <v>81.81</v>
      </c>
      <c r="F113" s="11">
        <v>81.81</v>
      </c>
      <c r="G113" s="11">
        <v>80.09</v>
      </c>
      <c r="H113" s="11">
        <v>1.72</v>
      </c>
      <c r="I113" s="11">
        <v>400</v>
      </c>
      <c r="J113" s="11">
        <v>80.59</v>
      </c>
      <c r="K113" s="11">
        <v>400</v>
      </c>
      <c r="L113" s="11">
        <v>80.59</v>
      </c>
      <c r="M113" s="11">
        <v>200</v>
      </c>
      <c r="N113" s="11">
        <v>81.25</v>
      </c>
      <c r="O113" s="11"/>
      <c r="P113" s="11"/>
      <c r="Q113" s="8">
        <v>156.6</v>
      </c>
      <c r="R113" s="8">
        <v>165.8</v>
      </c>
      <c r="S113" s="8"/>
      <c r="T113" s="12">
        <v>81.010000000000005</v>
      </c>
      <c r="U113" s="11">
        <v>1</v>
      </c>
      <c r="V113" s="11" t="s">
        <v>1222</v>
      </c>
    </row>
    <row r="114" spans="1:22" x14ac:dyDescent="0.3">
      <c r="A114" s="53"/>
      <c r="B114" s="18" t="s">
        <v>899</v>
      </c>
      <c r="C114" s="11">
        <v>1.5</v>
      </c>
      <c r="D114" s="11" t="s">
        <v>1187</v>
      </c>
      <c r="E114" s="11">
        <v>82.02</v>
      </c>
      <c r="F114" s="11">
        <v>82.02</v>
      </c>
      <c r="G114" s="11">
        <v>80.14</v>
      </c>
      <c r="H114" s="11">
        <v>1.88</v>
      </c>
      <c r="I114" s="11">
        <v>400</v>
      </c>
      <c r="J114" s="11">
        <v>80.64</v>
      </c>
      <c r="K114" s="11">
        <v>200</v>
      </c>
      <c r="L114" s="11">
        <v>81.3</v>
      </c>
      <c r="M114" s="11"/>
      <c r="N114" s="11"/>
      <c r="O114" s="11"/>
      <c r="P114" s="11"/>
      <c r="Q114" s="8">
        <v>349</v>
      </c>
      <c r="R114" s="8"/>
      <c r="S114" s="8"/>
      <c r="T114" s="12">
        <v>81.09</v>
      </c>
      <c r="U114" s="11">
        <v>1</v>
      </c>
      <c r="V114" s="11" t="s">
        <v>1222</v>
      </c>
    </row>
    <row r="115" spans="1:22" x14ac:dyDescent="0.3">
      <c r="B115" s="11" t="s">
        <v>55</v>
      </c>
      <c r="C115" s="11">
        <v>1.5</v>
      </c>
      <c r="D115" s="11" t="s">
        <v>1210</v>
      </c>
      <c r="E115" s="11">
        <v>80.16</v>
      </c>
      <c r="F115" s="11">
        <v>80.16</v>
      </c>
      <c r="G115" s="11">
        <v>78.8</v>
      </c>
      <c r="H115" s="11">
        <v>1.36</v>
      </c>
      <c r="I115" s="11">
        <v>400</v>
      </c>
      <c r="J115" s="11">
        <v>79.3</v>
      </c>
      <c r="K115" s="11"/>
      <c r="L115" s="11"/>
      <c r="M115" s="11"/>
      <c r="N115" s="11"/>
      <c r="O115" s="11"/>
      <c r="P115" s="11"/>
      <c r="Q115" s="8"/>
      <c r="R115" s="8"/>
      <c r="S115" s="8"/>
      <c r="T115" s="12">
        <v>79.540000000000006</v>
      </c>
      <c r="U115" s="11">
        <v>2</v>
      </c>
      <c r="V115" s="11" t="s">
        <v>1222</v>
      </c>
    </row>
    <row r="116" spans="1:22" x14ac:dyDescent="0.3">
      <c r="B116" s="11" t="s">
        <v>57</v>
      </c>
      <c r="C116" s="11">
        <v>1.5</v>
      </c>
      <c r="D116" s="11" t="s">
        <v>900</v>
      </c>
      <c r="E116" s="11">
        <v>79.819999999999993</v>
      </c>
      <c r="F116" s="11">
        <v>79.819999999999993</v>
      </c>
      <c r="G116" s="11">
        <v>77.98</v>
      </c>
      <c r="H116" s="11">
        <v>1.84</v>
      </c>
      <c r="I116" s="11">
        <v>500</v>
      </c>
      <c r="J116" s="11">
        <v>78.48</v>
      </c>
      <c r="K116" s="11"/>
      <c r="L116" s="11"/>
      <c r="M116" s="11"/>
      <c r="N116" s="11"/>
      <c r="O116" s="11"/>
      <c r="P116" s="11"/>
      <c r="Q116" s="8"/>
      <c r="R116" s="8"/>
      <c r="S116" s="8"/>
      <c r="T116" s="12">
        <v>78.48</v>
      </c>
      <c r="U116" s="11">
        <v>2</v>
      </c>
      <c r="V116" s="11" t="s">
        <v>1222</v>
      </c>
    </row>
    <row r="117" spans="1:22" x14ac:dyDescent="0.3">
      <c r="B117" s="11" t="s">
        <v>901</v>
      </c>
      <c r="C117" s="11">
        <v>1.2</v>
      </c>
      <c r="D117" s="11" t="s">
        <v>902</v>
      </c>
      <c r="E117" s="11">
        <v>86</v>
      </c>
      <c r="F117" s="11">
        <v>86</v>
      </c>
      <c r="G117" s="11">
        <v>84.1</v>
      </c>
      <c r="H117" s="11">
        <v>1.9</v>
      </c>
      <c r="I117" s="11">
        <v>200</v>
      </c>
      <c r="J117" s="11">
        <v>84.6</v>
      </c>
      <c r="K117" s="11">
        <v>200</v>
      </c>
      <c r="L117" s="11">
        <v>84.6</v>
      </c>
      <c r="M117" s="11"/>
      <c r="N117" s="11"/>
      <c r="O117" s="11"/>
      <c r="P117" s="11"/>
      <c r="Q117" s="8">
        <v>103.3</v>
      </c>
      <c r="R117" s="8"/>
      <c r="S117" s="11"/>
      <c r="T117" s="12"/>
      <c r="U117" s="11"/>
      <c r="V117" s="11" t="s">
        <v>1222</v>
      </c>
    </row>
    <row r="118" spans="1:22" x14ac:dyDescent="0.3">
      <c r="B118" s="11" t="s">
        <v>903</v>
      </c>
      <c r="C118" s="11">
        <v>1.2</v>
      </c>
      <c r="D118" s="11" t="s">
        <v>904</v>
      </c>
      <c r="E118" s="11">
        <v>86.17</v>
      </c>
      <c r="F118" s="11">
        <v>86.17</v>
      </c>
      <c r="G118" s="11">
        <v>84.32</v>
      </c>
      <c r="H118" s="11">
        <v>1.85</v>
      </c>
      <c r="I118" s="11">
        <v>200</v>
      </c>
      <c r="J118" s="11">
        <v>84.82</v>
      </c>
      <c r="K118" s="11">
        <v>200</v>
      </c>
      <c r="L118" s="11">
        <v>84.82</v>
      </c>
      <c r="M118" s="11"/>
      <c r="N118" s="11"/>
      <c r="O118" s="11"/>
      <c r="P118" s="11"/>
      <c r="Q118" s="8">
        <v>244.5</v>
      </c>
      <c r="R118" s="8"/>
      <c r="S118" s="11"/>
      <c r="T118" s="12"/>
      <c r="U118" s="11"/>
      <c r="V118" s="11" t="s">
        <v>1222</v>
      </c>
    </row>
    <row r="119" spans="1:22" x14ac:dyDescent="0.3">
      <c r="B119" s="11" t="s">
        <v>905</v>
      </c>
      <c r="C119" s="11">
        <v>1.5</v>
      </c>
      <c r="D119" s="11" t="s">
        <v>906</v>
      </c>
      <c r="E119" s="11">
        <v>41.82</v>
      </c>
      <c r="F119" s="11">
        <v>41.82</v>
      </c>
      <c r="G119" s="11">
        <v>39.840000000000003</v>
      </c>
      <c r="H119" s="11">
        <v>1.98</v>
      </c>
      <c r="I119" s="11">
        <v>500</v>
      </c>
      <c r="J119" s="11">
        <v>40.340000000000003</v>
      </c>
      <c r="K119" s="11">
        <v>500</v>
      </c>
      <c r="L119" s="11">
        <v>40.340000000000003</v>
      </c>
      <c r="M119" s="11"/>
      <c r="N119" s="11"/>
      <c r="O119" s="11"/>
      <c r="P119" s="11"/>
      <c r="Q119" s="8">
        <v>176.5</v>
      </c>
      <c r="R119" s="8"/>
      <c r="S119" s="11"/>
      <c r="T119" s="12">
        <v>41.23</v>
      </c>
      <c r="U119" s="11">
        <v>1</v>
      </c>
      <c r="V119" s="55" t="s">
        <v>1292</v>
      </c>
    </row>
    <row r="120" spans="1:22" x14ac:dyDescent="0.3">
      <c r="B120" s="11" t="s">
        <v>907</v>
      </c>
      <c r="C120" s="11">
        <v>1.5</v>
      </c>
      <c r="D120" s="11" t="s">
        <v>864</v>
      </c>
      <c r="E120" s="11">
        <v>42.7</v>
      </c>
      <c r="F120" s="11">
        <v>42.7</v>
      </c>
      <c r="G120" s="11">
        <v>39.54</v>
      </c>
      <c r="H120" s="11">
        <v>3.16</v>
      </c>
      <c r="I120" s="11">
        <v>500</v>
      </c>
      <c r="J120" s="11">
        <v>40.54</v>
      </c>
      <c r="K120" s="11">
        <v>500</v>
      </c>
      <c r="L120" s="11">
        <v>40.54</v>
      </c>
      <c r="M120" s="11"/>
      <c r="N120" s="11"/>
      <c r="O120" s="11"/>
      <c r="P120" s="11"/>
      <c r="Q120" s="8">
        <v>180</v>
      </c>
      <c r="R120" s="8"/>
      <c r="S120" s="11"/>
      <c r="T120" s="12"/>
      <c r="U120" s="11"/>
      <c r="V120" s="56"/>
    </row>
    <row r="121" spans="1:22" x14ac:dyDescent="0.3">
      <c r="B121" s="11" t="s">
        <v>908</v>
      </c>
      <c r="C121" s="11">
        <v>1</v>
      </c>
      <c r="D121" s="11" t="s">
        <v>1288</v>
      </c>
      <c r="E121" s="11">
        <v>43.02</v>
      </c>
      <c r="F121" s="11">
        <v>43.02</v>
      </c>
      <c r="G121" s="11">
        <v>40.6</v>
      </c>
      <c r="H121" s="11">
        <v>2.42</v>
      </c>
      <c r="I121" s="11">
        <v>500</v>
      </c>
      <c r="J121" s="11">
        <v>40.6</v>
      </c>
      <c r="K121" s="11">
        <v>500</v>
      </c>
      <c r="L121" s="11">
        <v>40.950000000000003</v>
      </c>
      <c r="M121" s="11"/>
      <c r="N121" s="11"/>
      <c r="O121" s="11"/>
      <c r="P121" s="11"/>
      <c r="Q121" s="8">
        <v>184.7</v>
      </c>
      <c r="R121" s="8"/>
      <c r="S121" s="8"/>
      <c r="T121" s="12"/>
      <c r="U121" s="11"/>
      <c r="V121" s="56"/>
    </row>
    <row r="122" spans="1:22" x14ac:dyDescent="0.3">
      <c r="B122" s="11" t="s">
        <v>909</v>
      </c>
      <c r="C122" s="11">
        <v>1.2</v>
      </c>
      <c r="D122" s="11" t="s">
        <v>1289</v>
      </c>
      <c r="E122" s="11">
        <v>72.489999999999995</v>
      </c>
      <c r="F122" s="11">
        <v>72.489999999999995</v>
      </c>
      <c r="G122" s="11">
        <v>68.430000000000007</v>
      </c>
      <c r="H122" s="11">
        <v>4.0599999999999996</v>
      </c>
      <c r="I122" s="11">
        <v>500</v>
      </c>
      <c r="J122" s="11">
        <v>68.930000000000007</v>
      </c>
      <c r="K122" s="11">
        <v>500</v>
      </c>
      <c r="L122" s="11">
        <v>68.930000000000007</v>
      </c>
      <c r="M122" s="11"/>
      <c r="N122" s="11"/>
      <c r="O122" s="11"/>
      <c r="P122" s="11"/>
      <c r="Q122" s="8">
        <v>264.89999999999998</v>
      </c>
      <c r="R122" s="8"/>
      <c r="S122" s="8"/>
      <c r="T122" s="12"/>
      <c r="U122" s="11"/>
      <c r="V122" s="56"/>
    </row>
    <row r="123" spans="1:22" x14ac:dyDescent="0.3">
      <c r="B123" s="11" t="s">
        <v>910</v>
      </c>
      <c r="C123" s="11">
        <v>1.5</v>
      </c>
      <c r="D123" s="11" t="s">
        <v>1290</v>
      </c>
      <c r="E123" s="11">
        <v>70.650000000000006</v>
      </c>
      <c r="F123" s="11">
        <v>70.650000000000006</v>
      </c>
      <c r="G123" s="11">
        <v>68.510000000000005</v>
      </c>
      <c r="H123" s="11">
        <v>2.14</v>
      </c>
      <c r="I123" s="11">
        <v>500</v>
      </c>
      <c r="J123" s="11">
        <v>69.010000000000005</v>
      </c>
      <c r="K123" s="11">
        <v>500</v>
      </c>
      <c r="L123" s="11">
        <v>69.010000000000005</v>
      </c>
      <c r="M123" s="11">
        <v>200</v>
      </c>
      <c r="N123" s="11">
        <v>69.739999999999995</v>
      </c>
      <c r="O123" s="11"/>
      <c r="P123" s="11"/>
      <c r="Q123" s="8">
        <v>180.9</v>
      </c>
      <c r="R123" s="8">
        <v>144.9</v>
      </c>
      <c r="S123" s="8"/>
      <c r="T123" s="12">
        <v>69.849999999999994</v>
      </c>
      <c r="U123" s="11">
        <v>1</v>
      </c>
      <c r="V123" s="56"/>
    </row>
    <row r="124" spans="1:22" x14ac:dyDescent="0.3">
      <c r="B124" s="11" t="s">
        <v>911</v>
      </c>
      <c r="C124" s="11">
        <v>1.5</v>
      </c>
      <c r="D124" s="11" t="s">
        <v>1291</v>
      </c>
      <c r="E124" s="11">
        <v>70.67</v>
      </c>
      <c r="F124" s="11">
        <v>70.67</v>
      </c>
      <c r="G124" s="11">
        <v>68.599999999999994</v>
      </c>
      <c r="H124" s="11">
        <v>2.0699999999999998</v>
      </c>
      <c r="I124" s="11">
        <v>500</v>
      </c>
      <c r="J124" s="11">
        <v>69.099999999999994</v>
      </c>
      <c r="K124" s="11"/>
      <c r="L124" s="11"/>
      <c r="M124" s="11">
        <v>200</v>
      </c>
      <c r="N124" s="11">
        <v>69.739999999999995</v>
      </c>
      <c r="O124" s="11"/>
      <c r="P124" s="11"/>
      <c r="Q124" s="8"/>
      <c r="R124" s="8">
        <v>20.8</v>
      </c>
      <c r="S124" s="8"/>
      <c r="T124" s="12">
        <v>69.87</v>
      </c>
      <c r="U124" s="11">
        <v>1</v>
      </c>
      <c r="V124" s="57"/>
    </row>
    <row r="125" spans="1:22" x14ac:dyDescent="0.3">
      <c r="B125" s="11" t="s">
        <v>912</v>
      </c>
      <c r="C125" s="11">
        <v>1.5</v>
      </c>
      <c r="D125" s="11" t="s">
        <v>913</v>
      </c>
      <c r="E125" s="11">
        <v>41.6</v>
      </c>
      <c r="F125" s="11">
        <v>41.6</v>
      </c>
      <c r="G125" s="11">
        <v>39.33</v>
      </c>
      <c r="H125" s="11">
        <v>2.27</v>
      </c>
      <c r="I125" s="11">
        <v>500</v>
      </c>
      <c r="J125" s="11">
        <v>39.83</v>
      </c>
      <c r="K125" s="11">
        <v>500</v>
      </c>
      <c r="L125" s="11">
        <v>39.83</v>
      </c>
      <c r="M125" s="11"/>
      <c r="N125" s="11"/>
      <c r="O125" s="11"/>
      <c r="P125" s="11"/>
      <c r="Q125" s="8">
        <v>135.4</v>
      </c>
      <c r="R125" s="8"/>
      <c r="S125" s="11"/>
      <c r="T125" s="12"/>
      <c r="U125" s="11"/>
      <c r="V125" s="11" t="s">
        <v>1222</v>
      </c>
    </row>
    <row r="126" spans="1:22" x14ac:dyDescent="0.3">
      <c r="B126" s="11" t="s">
        <v>914</v>
      </c>
      <c r="C126" s="11">
        <v>1.5</v>
      </c>
      <c r="D126" s="11" t="s">
        <v>915</v>
      </c>
      <c r="E126" s="11">
        <v>41.6</v>
      </c>
      <c r="F126" s="11">
        <v>41.6</v>
      </c>
      <c r="G126" s="11">
        <v>39.409999999999997</v>
      </c>
      <c r="H126" s="11">
        <v>2.19</v>
      </c>
      <c r="I126" s="11">
        <v>500</v>
      </c>
      <c r="J126" s="11">
        <v>39.909999999999997</v>
      </c>
      <c r="K126" s="11">
        <v>500</v>
      </c>
      <c r="L126" s="11">
        <v>39.909999999999997</v>
      </c>
      <c r="M126" s="11"/>
      <c r="N126" s="11"/>
      <c r="O126" s="11"/>
      <c r="P126" s="11"/>
      <c r="Q126" s="8">
        <v>209.5</v>
      </c>
      <c r="R126" s="8"/>
      <c r="S126" s="11"/>
      <c r="T126" s="12"/>
      <c r="U126" s="11"/>
      <c r="V126" s="11" t="s">
        <v>1222</v>
      </c>
    </row>
    <row r="127" spans="1:22" x14ac:dyDescent="0.3">
      <c r="B127" s="11" t="s">
        <v>916</v>
      </c>
      <c r="C127" s="11">
        <v>2</v>
      </c>
      <c r="D127" s="11" t="s">
        <v>864</v>
      </c>
      <c r="E127" s="11">
        <v>41.6</v>
      </c>
      <c r="F127" s="11">
        <v>41.6</v>
      </c>
      <c r="G127" s="11">
        <v>38.950000000000003</v>
      </c>
      <c r="H127" s="11">
        <v>2.65</v>
      </c>
      <c r="I127" s="11">
        <v>500</v>
      </c>
      <c r="J127" s="11">
        <v>39.950000000000003</v>
      </c>
      <c r="K127" s="11">
        <v>500</v>
      </c>
      <c r="L127" s="11">
        <v>39.950000000000003</v>
      </c>
      <c r="M127" s="11"/>
      <c r="N127" s="11"/>
      <c r="O127" s="11"/>
      <c r="P127" s="11"/>
      <c r="Q127" s="8">
        <v>180</v>
      </c>
      <c r="R127" s="8"/>
      <c r="S127" s="11"/>
      <c r="T127" s="12"/>
      <c r="U127" s="11"/>
      <c r="V127" s="11" t="s">
        <v>1222</v>
      </c>
    </row>
    <row r="128" spans="1:22" x14ac:dyDescent="0.3">
      <c r="B128" s="11" t="s">
        <v>917</v>
      </c>
      <c r="C128" s="11">
        <v>1.5</v>
      </c>
      <c r="D128" s="11" t="s">
        <v>918</v>
      </c>
      <c r="E128" s="11">
        <v>41.7</v>
      </c>
      <c r="F128" s="11">
        <v>41.7</v>
      </c>
      <c r="G128" s="11">
        <v>39.47</v>
      </c>
      <c r="H128" s="11">
        <v>2.23</v>
      </c>
      <c r="I128" s="11">
        <v>500</v>
      </c>
      <c r="J128" s="11">
        <v>39.97</v>
      </c>
      <c r="K128" s="11">
        <v>500</v>
      </c>
      <c r="L128" s="11">
        <v>39.97</v>
      </c>
      <c r="M128" s="11">
        <v>500</v>
      </c>
      <c r="N128" s="11">
        <v>39.97</v>
      </c>
      <c r="O128" s="11"/>
      <c r="P128" s="11"/>
      <c r="Q128" s="8">
        <v>188.6</v>
      </c>
      <c r="R128" s="8">
        <v>90.4</v>
      </c>
      <c r="S128" s="11"/>
      <c r="T128" s="12"/>
      <c r="U128" s="11"/>
      <c r="V128" s="11" t="s">
        <v>1222</v>
      </c>
    </row>
    <row r="129" spans="2:22" x14ac:dyDescent="0.3">
      <c r="B129" s="11" t="s">
        <v>919</v>
      </c>
      <c r="C129" s="11">
        <v>1.5</v>
      </c>
      <c r="D129" s="11" t="s">
        <v>920</v>
      </c>
      <c r="E129" s="11">
        <v>41.7</v>
      </c>
      <c r="F129" s="11">
        <v>41.7</v>
      </c>
      <c r="G129" s="11">
        <v>39.58</v>
      </c>
      <c r="H129" s="11">
        <v>2.12</v>
      </c>
      <c r="I129" s="11">
        <v>500</v>
      </c>
      <c r="J129" s="11">
        <v>40.08</v>
      </c>
      <c r="K129" s="11">
        <v>500</v>
      </c>
      <c r="L129" s="11">
        <v>40.08</v>
      </c>
      <c r="M129" s="11"/>
      <c r="N129" s="11"/>
      <c r="O129" s="11"/>
      <c r="P129" s="11"/>
      <c r="Q129" s="8">
        <v>169.7</v>
      </c>
      <c r="R129" s="8"/>
      <c r="S129" s="11"/>
      <c r="T129" s="12"/>
      <c r="U129" s="11"/>
      <c r="V129" s="11" t="s">
        <v>1222</v>
      </c>
    </row>
    <row r="130" spans="2:22" x14ac:dyDescent="0.3">
      <c r="B130" s="11" t="s">
        <v>921</v>
      </c>
      <c r="C130" s="11">
        <v>1.5</v>
      </c>
      <c r="D130" s="11" t="s">
        <v>922</v>
      </c>
      <c r="E130" s="11">
        <v>41.39</v>
      </c>
      <c r="F130" s="11">
        <v>41.39</v>
      </c>
      <c r="G130" s="11">
        <v>39.64</v>
      </c>
      <c r="H130" s="11">
        <v>1.75</v>
      </c>
      <c r="I130" s="11">
        <v>500</v>
      </c>
      <c r="J130" s="11">
        <v>40.14</v>
      </c>
      <c r="K130" s="11">
        <v>400</v>
      </c>
      <c r="L130" s="11">
        <v>40.14</v>
      </c>
      <c r="M130" s="11"/>
      <c r="N130" s="11"/>
      <c r="O130" s="11"/>
      <c r="P130" s="11"/>
      <c r="Q130" s="8">
        <v>280.5</v>
      </c>
      <c r="R130" s="8"/>
      <c r="S130" s="11"/>
      <c r="T130" s="12">
        <v>40.14</v>
      </c>
      <c r="U130" s="11">
        <v>1</v>
      </c>
      <c r="V130" s="11" t="s">
        <v>1222</v>
      </c>
    </row>
    <row r="131" spans="2:22" x14ac:dyDescent="0.3">
      <c r="B131" s="11" t="s">
        <v>923</v>
      </c>
      <c r="C131" s="11">
        <v>1.5</v>
      </c>
      <c r="D131" s="11" t="s">
        <v>924</v>
      </c>
      <c r="E131" s="11">
        <v>41.29</v>
      </c>
      <c r="F131" s="11">
        <v>41.29</v>
      </c>
      <c r="G131" s="11">
        <v>39.76</v>
      </c>
      <c r="H131" s="11">
        <v>1.53</v>
      </c>
      <c r="I131" s="11">
        <v>400</v>
      </c>
      <c r="J131" s="11">
        <v>40.26</v>
      </c>
      <c r="K131" s="11"/>
      <c r="L131" s="11"/>
      <c r="M131" s="11"/>
      <c r="N131" s="11"/>
      <c r="O131" s="11"/>
      <c r="P131" s="11"/>
      <c r="Q131" s="8"/>
      <c r="R131" s="8"/>
      <c r="S131" s="11"/>
      <c r="T131" s="12">
        <v>40.26</v>
      </c>
      <c r="U131" s="11">
        <v>1</v>
      </c>
      <c r="V131" s="11" t="s">
        <v>1222</v>
      </c>
    </row>
    <row r="132" spans="2:22" x14ac:dyDescent="0.3">
      <c r="B132" s="11" t="s">
        <v>925</v>
      </c>
      <c r="C132" s="11">
        <v>1.5</v>
      </c>
      <c r="D132" s="11" t="s">
        <v>1173</v>
      </c>
      <c r="E132" s="11">
        <v>41.39</v>
      </c>
      <c r="F132" s="11">
        <v>41.39</v>
      </c>
      <c r="G132" s="11">
        <v>39.619999999999997</v>
      </c>
      <c r="H132" s="11">
        <v>1.77</v>
      </c>
      <c r="I132" s="11">
        <v>500</v>
      </c>
      <c r="J132" s="11">
        <v>40.119999999999997</v>
      </c>
      <c r="K132" s="11"/>
      <c r="L132" s="11"/>
      <c r="M132" s="11"/>
      <c r="N132" s="11"/>
      <c r="O132" s="11"/>
      <c r="P132" s="11"/>
      <c r="Q132" s="8"/>
      <c r="R132" s="8"/>
      <c r="S132" s="8"/>
      <c r="T132" s="12">
        <v>40.119999999999997</v>
      </c>
      <c r="U132" s="11">
        <v>2</v>
      </c>
      <c r="V132" s="11" t="s">
        <v>1222</v>
      </c>
    </row>
    <row r="133" spans="2:22" x14ac:dyDescent="0.3">
      <c r="B133" s="11" t="s">
        <v>926</v>
      </c>
      <c r="C133" s="11">
        <v>1.2</v>
      </c>
      <c r="D133" s="11" t="s">
        <v>927</v>
      </c>
      <c r="E133" s="11">
        <v>47.18</v>
      </c>
      <c r="F133" s="11">
        <v>47.18</v>
      </c>
      <c r="G133" s="11">
        <v>44.27</v>
      </c>
      <c r="H133" s="11">
        <v>2.91</v>
      </c>
      <c r="I133" s="11">
        <v>250</v>
      </c>
      <c r="J133" s="11">
        <v>44.77</v>
      </c>
      <c r="K133" s="11">
        <v>200</v>
      </c>
      <c r="L133" s="11">
        <v>44.77</v>
      </c>
      <c r="M133" s="11">
        <v>200</v>
      </c>
      <c r="N133" s="11">
        <v>45.03</v>
      </c>
      <c r="O133" s="11"/>
      <c r="P133" s="11"/>
      <c r="Q133" s="8">
        <v>179</v>
      </c>
      <c r="R133" s="8">
        <v>249.7</v>
      </c>
      <c r="S133" s="8"/>
      <c r="T133" s="12"/>
      <c r="U133" s="11"/>
      <c r="V133" s="11" t="s">
        <v>1222</v>
      </c>
    </row>
    <row r="134" spans="2:22" x14ac:dyDescent="0.3">
      <c r="B134" s="11" t="s">
        <v>928</v>
      </c>
      <c r="C134" s="11">
        <v>1.2</v>
      </c>
      <c r="D134" s="11" t="s">
        <v>929</v>
      </c>
      <c r="E134" s="11">
        <v>47.18</v>
      </c>
      <c r="F134" s="11">
        <v>47.18</v>
      </c>
      <c r="G134" s="11">
        <v>44.5</v>
      </c>
      <c r="H134" s="11">
        <v>2.68</v>
      </c>
      <c r="I134" s="11">
        <v>200</v>
      </c>
      <c r="J134" s="11">
        <v>45</v>
      </c>
      <c r="K134" s="11"/>
      <c r="L134" s="11"/>
      <c r="M134" s="11">
        <v>200</v>
      </c>
      <c r="N134" s="11">
        <v>45.03</v>
      </c>
      <c r="O134" s="11"/>
      <c r="P134" s="11"/>
      <c r="Q134" s="8"/>
      <c r="R134" s="8">
        <v>290</v>
      </c>
      <c r="S134" s="8"/>
      <c r="T134" s="12"/>
      <c r="U134" s="11"/>
      <c r="V134" s="11" t="s">
        <v>1222</v>
      </c>
    </row>
    <row r="135" spans="2:22" x14ac:dyDescent="0.3">
      <c r="B135" s="11" t="s">
        <v>930</v>
      </c>
      <c r="C135" s="11">
        <v>1.2</v>
      </c>
      <c r="D135" s="11" t="s">
        <v>1211</v>
      </c>
      <c r="E135" s="11">
        <v>41</v>
      </c>
      <c r="F135" s="11">
        <v>41</v>
      </c>
      <c r="G135" s="11">
        <v>39.53</v>
      </c>
      <c r="H135" s="11">
        <v>1.47</v>
      </c>
      <c r="I135" s="11">
        <v>400</v>
      </c>
      <c r="J135" s="11">
        <v>40.03</v>
      </c>
      <c r="K135" s="11">
        <v>400</v>
      </c>
      <c r="L135" s="11">
        <v>40.03</v>
      </c>
      <c r="M135" s="11"/>
      <c r="N135" s="11"/>
      <c r="O135" s="11"/>
      <c r="P135" s="11"/>
      <c r="Q135" s="8">
        <v>180</v>
      </c>
      <c r="R135" s="8"/>
      <c r="S135" s="8"/>
      <c r="T135" s="12"/>
      <c r="U135" s="11"/>
      <c r="V135" s="11" t="s">
        <v>1222</v>
      </c>
    </row>
    <row r="136" spans="2:22" x14ac:dyDescent="0.3">
      <c r="B136" s="11" t="s">
        <v>931</v>
      </c>
      <c r="C136" s="11">
        <v>1.5</v>
      </c>
      <c r="D136" s="11" t="s">
        <v>864</v>
      </c>
      <c r="E136" s="11">
        <v>41</v>
      </c>
      <c r="F136" s="11">
        <v>41</v>
      </c>
      <c r="G136" s="11">
        <v>39.03</v>
      </c>
      <c r="H136" s="11">
        <v>1.97</v>
      </c>
      <c r="I136" s="11">
        <v>400</v>
      </c>
      <c r="J136" s="11">
        <v>40.03</v>
      </c>
      <c r="K136" s="11">
        <v>400</v>
      </c>
      <c r="L136" s="11">
        <v>40.03</v>
      </c>
      <c r="M136" s="11"/>
      <c r="N136" s="11"/>
      <c r="O136" s="11"/>
      <c r="P136" s="11"/>
      <c r="Q136" s="8">
        <v>180</v>
      </c>
      <c r="R136" s="8"/>
      <c r="S136" s="8"/>
      <c r="T136" s="12"/>
      <c r="U136" s="11"/>
      <c r="V136" s="11" t="s">
        <v>1222</v>
      </c>
    </row>
    <row r="137" spans="2:22" x14ac:dyDescent="0.3">
      <c r="B137" s="11" t="s">
        <v>932</v>
      </c>
      <c r="C137" s="11">
        <v>1.5</v>
      </c>
      <c r="D137" s="11" t="s">
        <v>1212</v>
      </c>
      <c r="E137" s="11">
        <v>41</v>
      </c>
      <c r="F137" s="11">
        <v>41</v>
      </c>
      <c r="G137" s="11">
        <v>39.54</v>
      </c>
      <c r="H137" s="11">
        <v>1.46</v>
      </c>
      <c r="I137" s="11">
        <v>400</v>
      </c>
      <c r="J137" s="11">
        <v>40.04</v>
      </c>
      <c r="K137" s="11">
        <v>400</v>
      </c>
      <c r="L137" s="11">
        <v>40.04</v>
      </c>
      <c r="M137" s="11"/>
      <c r="N137" s="11"/>
      <c r="O137" s="11"/>
      <c r="P137" s="11"/>
      <c r="Q137" s="8">
        <v>177.9</v>
      </c>
      <c r="R137" s="8"/>
      <c r="S137" s="8"/>
      <c r="T137" s="12"/>
      <c r="U137" s="11"/>
      <c r="V137" s="11" t="s">
        <v>1222</v>
      </c>
    </row>
    <row r="138" spans="2:22" x14ac:dyDescent="0.3">
      <c r="B138" s="11" t="s">
        <v>933</v>
      </c>
      <c r="C138" s="11">
        <v>1.5</v>
      </c>
      <c r="D138" s="11" t="s">
        <v>1212</v>
      </c>
      <c r="E138" s="11">
        <v>41</v>
      </c>
      <c r="F138" s="11">
        <v>41</v>
      </c>
      <c r="G138" s="11">
        <v>39.54</v>
      </c>
      <c r="H138" s="11">
        <v>1.46</v>
      </c>
      <c r="I138" s="11">
        <v>400</v>
      </c>
      <c r="J138" s="11">
        <v>40.04</v>
      </c>
      <c r="K138" s="11">
        <v>400</v>
      </c>
      <c r="L138" s="11">
        <v>40.04</v>
      </c>
      <c r="M138" s="11"/>
      <c r="N138" s="11"/>
      <c r="O138" s="11"/>
      <c r="P138" s="11"/>
      <c r="Q138" s="8">
        <v>90.3</v>
      </c>
      <c r="R138" s="8"/>
      <c r="S138" s="8"/>
      <c r="T138" s="12"/>
      <c r="U138" s="11"/>
      <c r="V138" s="11" t="s">
        <v>1222</v>
      </c>
    </row>
    <row r="139" spans="2:22" x14ac:dyDescent="0.3">
      <c r="B139" s="11" t="s">
        <v>934</v>
      </c>
      <c r="C139" s="11">
        <v>1.5</v>
      </c>
      <c r="D139" s="11" t="s">
        <v>1213</v>
      </c>
      <c r="E139" s="11">
        <v>41</v>
      </c>
      <c r="F139" s="11">
        <v>41</v>
      </c>
      <c r="G139" s="11">
        <v>39.56</v>
      </c>
      <c r="H139" s="11">
        <v>1.44</v>
      </c>
      <c r="I139" s="11">
        <v>400</v>
      </c>
      <c r="J139" s="11">
        <v>40.06</v>
      </c>
      <c r="K139" s="11"/>
      <c r="L139" s="11"/>
      <c r="M139" s="11"/>
      <c r="N139" s="11"/>
      <c r="O139" s="11"/>
      <c r="P139" s="11"/>
      <c r="Q139" s="8"/>
      <c r="R139" s="8"/>
      <c r="S139" s="8"/>
      <c r="T139" s="12">
        <v>40.06</v>
      </c>
      <c r="U139" s="11">
        <v>2</v>
      </c>
      <c r="V139" s="11" t="s">
        <v>1222</v>
      </c>
    </row>
    <row r="140" spans="2:22" x14ac:dyDescent="0.3">
      <c r="B140" s="11" t="s">
        <v>935</v>
      </c>
      <c r="C140" s="11">
        <v>2</v>
      </c>
      <c r="D140" s="11" t="s">
        <v>864</v>
      </c>
      <c r="E140" s="11">
        <v>46.41</v>
      </c>
      <c r="F140" s="11">
        <v>46.41</v>
      </c>
      <c r="G140" s="11">
        <v>43.27</v>
      </c>
      <c r="H140" s="11">
        <v>3.14</v>
      </c>
      <c r="I140" s="11">
        <v>600</v>
      </c>
      <c r="J140" s="11">
        <v>44.27</v>
      </c>
      <c r="K140" s="11">
        <v>600</v>
      </c>
      <c r="L140" s="11">
        <v>44.27</v>
      </c>
      <c r="M140" s="11"/>
      <c r="N140" s="11"/>
      <c r="O140" s="11"/>
      <c r="P140" s="11"/>
      <c r="Q140" s="8">
        <v>180.8</v>
      </c>
      <c r="R140" s="8"/>
      <c r="S140" s="8"/>
      <c r="T140" s="12"/>
      <c r="U140" s="11"/>
      <c r="V140" s="11" t="s">
        <v>1222</v>
      </c>
    </row>
    <row r="141" spans="2:22" x14ac:dyDescent="0.3">
      <c r="B141" s="11" t="s">
        <v>936</v>
      </c>
      <c r="C141" s="11">
        <v>2.5</v>
      </c>
      <c r="D141" s="11" t="s">
        <v>1214</v>
      </c>
      <c r="E141" s="11">
        <v>46.42</v>
      </c>
      <c r="F141" s="11">
        <v>46.42</v>
      </c>
      <c r="G141" s="11">
        <v>42.77</v>
      </c>
      <c r="H141" s="11">
        <v>3.65</v>
      </c>
      <c r="I141" s="11">
        <v>600</v>
      </c>
      <c r="J141" s="11">
        <v>44.27</v>
      </c>
      <c r="K141" s="11">
        <v>600</v>
      </c>
      <c r="L141" s="11">
        <v>44.27</v>
      </c>
      <c r="M141" s="11"/>
      <c r="N141" s="11"/>
      <c r="O141" s="11"/>
      <c r="P141" s="11"/>
      <c r="Q141" s="8">
        <v>179.4</v>
      </c>
      <c r="R141" s="8"/>
      <c r="S141" s="8"/>
      <c r="T141" s="12"/>
      <c r="U141" s="11"/>
      <c r="V141" s="11" t="s">
        <v>1222</v>
      </c>
    </row>
    <row r="142" spans="2:22" x14ac:dyDescent="0.3">
      <c r="B142" s="18" t="s">
        <v>937</v>
      </c>
      <c r="C142" s="11">
        <v>1.5</v>
      </c>
      <c r="D142" s="11" t="s">
        <v>1215</v>
      </c>
      <c r="E142" s="11">
        <v>45.91</v>
      </c>
      <c r="F142" s="11">
        <v>45.91</v>
      </c>
      <c r="G142" s="11">
        <v>43.78</v>
      </c>
      <c r="H142" s="11">
        <v>2.13</v>
      </c>
      <c r="I142" s="11">
        <v>600</v>
      </c>
      <c r="J142" s="11">
        <v>44.28</v>
      </c>
      <c r="K142" s="11">
        <v>500</v>
      </c>
      <c r="L142" s="11">
        <v>44.28</v>
      </c>
      <c r="M142" s="11"/>
      <c r="N142" s="11"/>
      <c r="O142" s="11"/>
      <c r="P142" s="11"/>
      <c r="Q142" s="8">
        <v>190.4</v>
      </c>
      <c r="R142" s="8"/>
      <c r="S142" s="8"/>
      <c r="T142" s="12">
        <v>44.28</v>
      </c>
      <c r="U142" s="11"/>
      <c r="V142" s="11" t="s">
        <v>1222</v>
      </c>
    </row>
    <row r="143" spans="2:22" x14ac:dyDescent="0.3">
      <c r="B143" s="18" t="s">
        <v>938</v>
      </c>
      <c r="C143" s="11">
        <v>1.5</v>
      </c>
      <c r="D143" s="11" t="s">
        <v>1216</v>
      </c>
      <c r="E143" s="11">
        <v>47.2</v>
      </c>
      <c r="F143" s="11">
        <v>47.2</v>
      </c>
      <c r="G143" s="11">
        <v>44.28</v>
      </c>
      <c r="H143" s="11">
        <v>2.92</v>
      </c>
      <c r="I143" s="11">
        <v>500</v>
      </c>
      <c r="J143" s="11">
        <v>44.78</v>
      </c>
      <c r="K143" s="11">
        <v>500</v>
      </c>
      <c r="L143" s="11">
        <v>44.78</v>
      </c>
      <c r="M143" s="11">
        <v>300</v>
      </c>
      <c r="N143" s="11">
        <v>45.98</v>
      </c>
      <c r="O143" s="11"/>
      <c r="P143" s="11"/>
      <c r="Q143" s="8">
        <v>191.1</v>
      </c>
      <c r="R143" s="8">
        <v>182.6</v>
      </c>
      <c r="S143" s="8"/>
      <c r="T143" s="12">
        <v>45.75</v>
      </c>
      <c r="U143" s="11">
        <v>1</v>
      </c>
      <c r="V143" s="11" t="s">
        <v>1222</v>
      </c>
    </row>
    <row r="144" spans="2:22" x14ac:dyDescent="0.3">
      <c r="B144" s="18" t="s">
        <v>939</v>
      </c>
      <c r="C144" s="11">
        <v>1.5</v>
      </c>
      <c r="D144" s="11" t="s">
        <v>1217</v>
      </c>
      <c r="E144" s="11">
        <v>46.8</v>
      </c>
      <c r="F144" s="11">
        <v>46.8</v>
      </c>
      <c r="G144" s="11">
        <v>45.28</v>
      </c>
      <c r="H144" s="11">
        <v>1.52</v>
      </c>
      <c r="I144" s="11">
        <v>500</v>
      </c>
      <c r="J144" s="11">
        <v>45.78</v>
      </c>
      <c r="K144" s="11"/>
      <c r="L144" s="11"/>
      <c r="M144" s="11"/>
      <c r="N144" s="11"/>
      <c r="O144" s="11"/>
      <c r="P144" s="11"/>
      <c r="Q144" s="8"/>
      <c r="R144" s="8"/>
      <c r="S144" s="8"/>
      <c r="T144" s="12">
        <v>46.27</v>
      </c>
      <c r="U144" s="11">
        <v>1</v>
      </c>
      <c r="V144" s="11" t="s">
        <v>1286</v>
      </c>
    </row>
    <row r="145" spans="2:22" x14ac:dyDescent="0.3">
      <c r="B145" s="11" t="s">
        <v>941</v>
      </c>
      <c r="C145" s="11">
        <v>1.2</v>
      </c>
      <c r="D145" s="11" t="s">
        <v>942</v>
      </c>
      <c r="E145" s="11">
        <v>52.09</v>
      </c>
      <c r="F145" s="11">
        <v>52.09</v>
      </c>
      <c r="G145" s="11">
        <v>47.47</v>
      </c>
      <c r="H145" s="11">
        <v>4.62</v>
      </c>
      <c r="I145" s="11">
        <v>300</v>
      </c>
      <c r="J145" s="11">
        <v>47.47</v>
      </c>
      <c r="K145" s="11">
        <v>300</v>
      </c>
      <c r="L145" s="11">
        <v>50.67</v>
      </c>
      <c r="M145" s="11"/>
      <c r="N145" s="11"/>
      <c r="O145" s="11"/>
      <c r="P145" s="11"/>
      <c r="Q145" s="8">
        <v>180.1</v>
      </c>
      <c r="R145" s="8"/>
      <c r="S145" s="11"/>
      <c r="T145" s="12"/>
      <c r="U145" s="11"/>
      <c r="V145" s="11" t="s">
        <v>1222</v>
      </c>
    </row>
    <row r="146" spans="2:22" x14ac:dyDescent="0.3">
      <c r="B146" s="11" t="s">
        <v>943</v>
      </c>
      <c r="C146" s="11">
        <v>1.2</v>
      </c>
      <c r="D146" s="11" t="s">
        <v>944</v>
      </c>
      <c r="E146" s="11">
        <v>57.69</v>
      </c>
      <c r="F146" s="11">
        <v>57.69</v>
      </c>
      <c r="G146" s="11">
        <v>52.16</v>
      </c>
      <c r="H146" s="11">
        <v>5.53</v>
      </c>
      <c r="I146" s="11">
        <v>300</v>
      </c>
      <c r="J146" s="11">
        <v>52.16</v>
      </c>
      <c r="K146" s="11">
        <v>200</v>
      </c>
      <c r="L146" s="11">
        <v>55.96</v>
      </c>
      <c r="M146" s="11">
        <v>300</v>
      </c>
      <c r="N146" s="11">
        <v>55.38</v>
      </c>
      <c r="O146" s="11">
        <v>200</v>
      </c>
      <c r="P146" s="11">
        <v>56.65</v>
      </c>
      <c r="Q146" s="8">
        <v>108.1</v>
      </c>
      <c r="R146" s="8">
        <v>187.7</v>
      </c>
      <c r="S146" s="11">
        <v>253.9</v>
      </c>
      <c r="T146" s="12"/>
      <c r="U146" s="11"/>
      <c r="V146" s="11" t="s">
        <v>1222</v>
      </c>
    </row>
    <row r="147" spans="2:22" x14ac:dyDescent="0.3">
      <c r="B147" s="11" t="s">
        <v>946</v>
      </c>
      <c r="C147" s="11">
        <v>1.2</v>
      </c>
      <c r="D147" s="11" t="s">
        <v>947</v>
      </c>
      <c r="E147" s="11">
        <v>57.69</v>
      </c>
      <c r="F147" s="11">
        <v>57.69</v>
      </c>
      <c r="G147" s="11">
        <v>55.46</v>
      </c>
      <c r="H147" s="11">
        <v>2.23</v>
      </c>
      <c r="I147" s="11">
        <v>300</v>
      </c>
      <c r="J147" s="11">
        <v>55.96</v>
      </c>
      <c r="K147" s="11">
        <v>200</v>
      </c>
      <c r="L147" s="11">
        <v>55.96</v>
      </c>
      <c r="M147" s="11">
        <v>200</v>
      </c>
      <c r="N147" s="11">
        <v>56.46</v>
      </c>
      <c r="O147" s="11"/>
      <c r="P147" s="11"/>
      <c r="Q147" s="8">
        <v>81.099999999999994</v>
      </c>
      <c r="R147" s="8">
        <v>295.60000000000002</v>
      </c>
      <c r="S147" s="11"/>
      <c r="T147" s="12"/>
      <c r="U147" s="11"/>
      <c r="V147" s="11" t="s">
        <v>1222</v>
      </c>
    </row>
    <row r="148" spans="2:22" x14ac:dyDescent="0.3">
      <c r="B148" s="11" t="s">
        <v>948</v>
      </c>
      <c r="C148" s="11">
        <v>1.5</v>
      </c>
      <c r="D148" s="11" t="s">
        <v>949</v>
      </c>
      <c r="E148" s="11">
        <v>83.59</v>
      </c>
      <c r="F148" s="11">
        <v>83.59</v>
      </c>
      <c r="G148" s="11">
        <v>81.88</v>
      </c>
      <c r="H148" s="11">
        <v>1.71</v>
      </c>
      <c r="I148" s="11">
        <v>600</v>
      </c>
      <c r="J148" s="11">
        <v>82.38</v>
      </c>
      <c r="K148" s="11">
        <v>500</v>
      </c>
      <c r="L148" s="11">
        <v>82.38</v>
      </c>
      <c r="M148" s="11"/>
      <c r="N148" s="11"/>
      <c r="O148" s="11"/>
      <c r="P148" s="11"/>
      <c r="Q148" s="8">
        <v>179.7</v>
      </c>
      <c r="R148" s="8"/>
      <c r="S148" s="8"/>
      <c r="T148" s="12">
        <v>82.49</v>
      </c>
      <c r="U148" s="11">
        <v>2</v>
      </c>
      <c r="V148" s="11" t="s">
        <v>1222</v>
      </c>
    </row>
    <row r="149" spans="2:22" x14ac:dyDescent="0.3">
      <c r="B149" s="11" t="s">
        <v>950</v>
      </c>
      <c r="C149" s="11">
        <v>1.5</v>
      </c>
      <c r="D149" s="11" t="s">
        <v>1174</v>
      </c>
      <c r="E149" s="11">
        <v>83.92</v>
      </c>
      <c r="F149" s="11">
        <v>83.92</v>
      </c>
      <c r="G149" s="11">
        <v>82</v>
      </c>
      <c r="H149" s="11">
        <v>1.92</v>
      </c>
      <c r="I149" s="11">
        <v>500</v>
      </c>
      <c r="J149" s="11">
        <v>82.5</v>
      </c>
      <c r="K149" s="11"/>
      <c r="L149" s="11"/>
      <c r="M149" s="11"/>
      <c r="N149" s="11"/>
      <c r="O149" s="11"/>
      <c r="P149" s="11"/>
      <c r="Q149" s="8"/>
      <c r="R149" s="8"/>
      <c r="S149" s="8"/>
      <c r="T149" s="12">
        <v>82.54</v>
      </c>
      <c r="U149" s="11">
        <v>2</v>
      </c>
      <c r="V149" s="11" t="s">
        <v>1222</v>
      </c>
    </row>
    <row r="150" spans="2:22" x14ac:dyDescent="0.3">
      <c r="B150" s="11" t="s">
        <v>951</v>
      </c>
      <c r="C150" s="11">
        <v>1.2</v>
      </c>
      <c r="D150" s="11" t="s">
        <v>952</v>
      </c>
      <c r="E150" s="11">
        <v>83.86</v>
      </c>
      <c r="F150" s="11">
        <v>83.86</v>
      </c>
      <c r="G150" s="11">
        <v>81.819999999999993</v>
      </c>
      <c r="H150" s="11">
        <v>2.04</v>
      </c>
      <c r="I150" s="11">
        <v>400</v>
      </c>
      <c r="J150" s="11">
        <v>82.32</v>
      </c>
      <c r="K150" s="11">
        <v>400</v>
      </c>
      <c r="L150" s="11">
        <v>82.32</v>
      </c>
      <c r="M150" s="11"/>
      <c r="N150" s="11"/>
      <c r="O150" s="11"/>
      <c r="P150" s="11"/>
      <c r="Q150" s="8">
        <v>123.2</v>
      </c>
      <c r="R150" s="8"/>
      <c r="S150" s="8"/>
      <c r="T150" s="12"/>
      <c r="U150" s="11"/>
      <c r="V150" s="11" t="s">
        <v>1222</v>
      </c>
    </row>
    <row r="151" spans="2:22" x14ac:dyDescent="0.3">
      <c r="B151" s="11" t="s">
        <v>953</v>
      </c>
      <c r="C151" s="11">
        <v>1.5</v>
      </c>
      <c r="D151" s="11" t="s">
        <v>1175</v>
      </c>
      <c r="E151" s="11">
        <v>83.26</v>
      </c>
      <c r="F151" s="11">
        <v>83.26</v>
      </c>
      <c r="G151" s="11">
        <v>81.84</v>
      </c>
      <c r="H151" s="11">
        <v>1.42</v>
      </c>
      <c r="I151" s="11">
        <v>400</v>
      </c>
      <c r="J151" s="11">
        <v>82.34</v>
      </c>
      <c r="K151" s="11">
        <v>400</v>
      </c>
      <c r="L151" s="11">
        <v>82.34</v>
      </c>
      <c r="M151" s="11"/>
      <c r="N151" s="11"/>
      <c r="O151" s="11"/>
      <c r="P151" s="11"/>
      <c r="Q151" s="8">
        <v>177.3</v>
      </c>
      <c r="R151" s="8"/>
      <c r="S151" s="8"/>
      <c r="T151" s="12">
        <v>82.36</v>
      </c>
      <c r="U151" s="11">
        <v>1</v>
      </c>
      <c r="V151" s="11" t="s">
        <v>1222</v>
      </c>
    </row>
    <row r="152" spans="2:22" x14ac:dyDescent="0.3">
      <c r="B152" s="11" t="s">
        <v>954</v>
      </c>
      <c r="C152" s="11">
        <v>1.5</v>
      </c>
      <c r="D152" s="11" t="s">
        <v>1176</v>
      </c>
      <c r="E152" s="11">
        <v>83.31</v>
      </c>
      <c r="F152" s="11">
        <v>83.31</v>
      </c>
      <c r="G152" s="11">
        <v>81.91</v>
      </c>
      <c r="H152" s="11">
        <v>1.4</v>
      </c>
      <c r="I152" s="11">
        <v>400</v>
      </c>
      <c r="J152" s="11">
        <v>82.41</v>
      </c>
      <c r="K152" s="11"/>
      <c r="L152" s="11"/>
      <c r="M152" s="11"/>
      <c r="N152" s="11"/>
      <c r="O152" s="11"/>
      <c r="P152" s="11"/>
      <c r="Q152" s="8"/>
      <c r="R152" s="8"/>
      <c r="S152" s="8"/>
      <c r="T152" s="12">
        <v>82.41</v>
      </c>
      <c r="U152" s="11">
        <v>2</v>
      </c>
      <c r="V152" s="11" t="s">
        <v>1222</v>
      </c>
    </row>
    <row r="153" spans="2:22" x14ac:dyDescent="0.3">
      <c r="B153" s="11" t="s">
        <v>68</v>
      </c>
      <c r="C153" s="11">
        <v>1.5</v>
      </c>
      <c r="D153" s="11" t="s">
        <v>1251</v>
      </c>
      <c r="E153" s="11">
        <v>84.19</v>
      </c>
      <c r="F153" s="11">
        <v>84.19</v>
      </c>
      <c r="G153" s="11">
        <v>82.36</v>
      </c>
      <c r="H153" s="11">
        <v>1.83</v>
      </c>
      <c r="I153" s="11">
        <v>400</v>
      </c>
      <c r="J153" s="11">
        <v>82.86</v>
      </c>
      <c r="K153" s="11">
        <v>400</v>
      </c>
      <c r="L153" s="11">
        <v>82.86</v>
      </c>
      <c r="M153" s="11"/>
      <c r="N153" s="11"/>
      <c r="O153" s="11"/>
      <c r="P153" s="11"/>
      <c r="Q153" s="8">
        <v>98.2</v>
      </c>
      <c r="R153" s="8"/>
      <c r="S153" s="8"/>
      <c r="T153" s="12">
        <v>82.9</v>
      </c>
      <c r="U153" s="11">
        <v>1</v>
      </c>
      <c r="V153" s="11" t="s">
        <v>1222</v>
      </c>
    </row>
    <row r="154" spans="2:22" x14ac:dyDescent="0.3">
      <c r="B154" s="11" t="s">
        <v>956</v>
      </c>
      <c r="C154" s="11">
        <v>1.2</v>
      </c>
      <c r="D154" s="11" t="s">
        <v>957</v>
      </c>
      <c r="E154" s="11">
        <v>82.67</v>
      </c>
      <c r="F154" s="11">
        <v>82.67</v>
      </c>
      <c r="G154" s="11">
        <v>81.319999999999993</v>
      </c>
      <c r="H154" s="11">
        <v>1.35</v>
      </c>
      <c r="I154" s="11">
        <v>400</v>
      </c>
      <c r="J154" s="11">
        <v>81.819999999999993</v>
      </c>
      <c r="K154" s="11">
        <v>400</v>
      </c>
      <c r="L154" s="11">
        <v>81.819999999999993</v>
      </c>
      <c r="M154" s="11"/>
      <c r="N154" s="11"/>
      <c r="O154" s="11"/>
      <c r="P154" s="11"/>
      <c r="Q154" s="8">
        <v>270</v>
      </c>
      <c r="R154" s="8"/>
      <c r="S154" s="8"/>
      <c r="T154" s="12"/>
      <c r="U154" s="11"/>
      <c r="V154" s="11" t="s">
        <v>1222</v>
      </c>
    </row>
    <row r="155" spans="2:22" x14ac:dyDescent="0.3">
      <c r="B155" s="11" t="s">
        <v>958</v>
      </c>
      <c r="C155" s="11">
        <v>1.5</v>
      </c>
      <c r="D155" s="11" t="s">
        <v>1177</v>
      </c>
      <c r="E155" s="11">
        <v>82.87</v>
      </c>
      <c r="F155" s="11">
        <v>82.87</v>
      </c>
      <c r="G155" s="11">
        <v>81.33</v>
      </c>
      <c r="H155" s="11">
        <v>1.54</v>
      </c>
      <c r="I155" s="11">
        <v>400</v>
      </c>
      <c r="J155" s="11">
        <v>81.83</v>
      </c>
      <c r="K155" s="11">
        <v>400</v>
      </c>
      <c r="L155" s="11">
        <v>81.83</v>
      </c>
      <c r="M155" s="11"/>
      <c r="N155" s="11"/>
      <c r="O155" s="11"/>
      <c r="P155" s="11"/>
      <c r="Q155" s="8">
        <v>179.7</v>
      </c>
      <c r="R155" s="8"/>
      <c r="S155" s="8"/>
      <c r="T155" s="12">
        <v>81.84</v>
      </c>
      <c r="U155" s="11">
        <v>1</v>
      </c>
      <c r="V155" s="11" t="s">
        <v>1222</v>
      </c>
    </row>
    <row r="156" spans="2:22" x14ac:dyDescent="0.3">
      <c r="B156" s="11" t="s">
        <v>959</v>
      </c>
      <c r="C156" s="11">
        <v>1.2</v>
      </c>
      <c r="D156" s="11" t="s">
        <v>960</v>
      </c>
      <c r="E156" s="11">
        <v>83.85</v>
      </c>
      <c r="F156" s="11">
        <v>83.85</v>
      </c>
      <c r="G156" s="11">
        <v>81.430000000000007</v>
      </c>
      <c r="H156" s="11">
        <v>2.42</v>
      </c>
      <c r="I156" s="11">
        <v>400</v>
      </c>
      <c r="J156" s="11">
        <v>81.93</v>
      </c>
      <c r="K156" s="11">
        <v>400</v>
      </c>
      <c r="L156" s="11">
        <v>81.93</v>
      </c>
      <c r="M156" s="11"/>
      <c r="N156" s="11"/>
      <c r="O156" s="11"/>
      <c r="P156" s="11"/>
      <c r="Q156" s="8">
        <v>125</v>
      </c>
      <c r="R156" s="8"/>
      <c r="S156" s="8"/>
      <c r="T156" s="12"/>
      <c r="U156" s="11"/>
      <c r="V156" s="11" t="s">
        <v>1222</v>
      </c>
    </row>
    <row r="157" spans="2:22" x14ac:dyDescent="0.3">
      <c r="B157" s="11" t="s">
        <v>961</v>
      </c>
      <c r="C157" s="11">
        <v>1.2</v>
      </c>
      <c r="D157" s="11" t="s">
        <v>962</v>
      </c>
      <c r="E157" s="11">
        <v>83.61</v>
      </c>
      <c r="F157" s="11">
        <v>83.61</v>
      </c>
      <c r="G157" s="11">
        <v>81.48</v>
      </c>
      <c r="H157" s="11">
        <v>2.13</v>
      </c>
      <c r="I157" s="11">
        <v>400</v>
      </c>
      <c r="J157" s="11">
        <v>81.98</v>
      </c>
      <c r="K157" s="11">
        <v>400</v>
      </c>
      <c r="L157" s="11">
        <v>81.98</v>
      </c>
      <c r="M157" s="11"/>
      <c r="N157" s="11"/>
      <c r="O157" s="11"/>
      <c r="P157" s="11"/>
      <c r="Q157" s="8">
        <v>180.2</v>
      </c>
      <c r="R157" s="8"/>
      <c r="S157" s="8"/>
      <c r="T157" s="12"/>
      <c r="U157" s="11"/>
      <c r="V157" s="11" t="s">
        <v>1222</v>
      </c>
    </row>
    <row r="158" spans="2:22" x14ac:dyDescent="0.3">
      <c r="B158" s="11" t="s">
        <v>72</v>
      </c>
      <c r="C158" s="11">
        <v>2</v>
      </c>
      <c r="D158" s="11" t="s">
        <v>963</v>
      </c>
      <c r="E158" s="11">
        <v>84.19</v>
      </c>
      <c r="F158" s="11">
        <v>84.19</v>
      </c>
      <c r="G158" s="11">
        <v>79.040000000000006</v>
      </c>
      <c r="H158" s="11">
        <v>5.15</v>
      </c>
      <c r="I158" s="11">
        <v>300</v>
      </c>
      <c r="J158" s="11">
        <v>81</v>
      </c>
      <c r="K158" s="11">
        <v>300</v>
      </c>
      <c r="L158" s="11">
        <v>81</v>
      </c>
      <c r="M158" s="11"/>
      <c r="N158" s="11"/>
      <c r="O158" s="11"/>
      <c r="P158" s="11"/>
      <c r="Q158" s="8"/>
      <c r="R158" s="8"/>
      <c r="S158" s="8"/>
      <c r="T158" s="12"/>
      <c r="U158" s="11"/>
      <c r="V158" s="11" t="s">
        <v>1222</v>
      </c>
    </row>
    <row r="159" spans="2:22" x14ac:dyDescent="0.3">
      <c r="B159" s="11" t="s">
        <v>964</v>
      </c>
      <c r="C159" s="11">
        <v>1</v>
      </c>
      <c r="D159" s="11" t="s">
        <v>965</v>
      </c>
      <c r="E159" s="11">
        <v>84.17</v>
      </c>
      <c r="F159" s="11">
        <v>84.17</v>
      </c>
      <c r="G159" s="11">
        <v>79.52</v>
      </c>
      <c r="H159" s="11">
        <v>4.6500000000000004</v>
      </c>
      <c r="I159" s="11">
        <v>300</v>
      </c>
      <c r="J159" s="11">
        <v>81.02</v>
      </c>
      <c r="K159" s="11">
        <v>300</v>
      </c>
      <c r="L159" s="11">
        <v>81.02</v>
      </c>
      <c r="M159" s="11"/>
      <c r="N159" s="11"/>
      <c r="O159" s="11"/>
      <c r="P159" s="11"/>
      <c r="Q159" s="8">
        <v>179.5</v>
      </c>
      <c r="R159" s="8"/>
      <c r="S159" s="8"/>
      <c r="T159" s="12"/>
      <c r="U159" s="11"/>
      <c r="V159" s="11" t="s">
        <v>1222</v>
      </c>
    </row>
    <row r="160" spans="2:22" x14ac:dyDescent="0.3">
      <c r="B160" s="11" t="s">
        <v>966</v>
      </c>
      <c r="C160" s="11">
        <v>1.2</v>
      </c>
      <c r="D160" s="11" t="s">
        <v>967</v>
      </c>
      <c r="E160" s="11">
        <v>82.51</v>
      </c>
      <c r="F160" s="11">
        <v>82.51</v>
      </c>
      <c r="G160" s="11">
        <v>80.709999999999994</v>
      </c>
      <c r="H160" s="11">
        <v>1.8</v>
      </c>
      <c r="I160" s="11">
        <v>300</v>
      </c>
      <c r="J160" s="11">
        <v>81.209999999999994</v>
      </c>
      <c r="K160" s="11">
        <v>300</v>
      </c>
      <c r="L160" s="11">
        <v>81.209999999999994</v>
      </c>
      <c r="M160" s="11"/>
      <c r="N160" s="11"/>
      <c r="O160" s="11"/>
      <c r="P160" s="11"/>
      <c r="Q160" s="8">
        <v>266.8</v>
      </c>
      <c r="R160" s="8"/>
      <c r="S160" s="8"/>
      <c r="T160" s="12"/>
      <c r="U160" s="11"/>
      <c r="V160" s="11" t="s">
        <v>1222</v>
      </c>
    </row>
    <row r="161" spans="1:22" x14ac:dyDescent="0.3">
      <c r="B161" s="18" t="s">
        <v>968</v>
      </c>
      <c r="C161" s="11">
        <v>1</v>
      </c>
      <c r="D161" s="11" t="s">
        <v>969</v>
      </c>
      <c r="E161" s="11">
        <v>57.5</v>
      </c>
      <c r="F161" s="11">
        <v>57.5</v>
      </c>
      <c r="G161" s="11">
        <v>54.93</v>
      </c>
      <c r="H161" s="11">
        <v>2.57</v>
      </c>
      <c r="I161" s="11">
        <v>400</v>
      </c>
      <c r="J161" s="11">
        <v>56.43</v>
      </c>
      <c r="K161" s="11">
        <v>400</v>
      </c>
      <c r="L161" s="11">
        <v>56.43</v>
      </c>
      <c r="M161" s="11"/>
      <c r="N161" s="11"/>
      <c r="O161" s="11"/>
      <c r="P161" s="11"/>
      <c r="Q161" s="8">
        <v>180</v>
      </c>
      <c r="R161" s="8"/>
      <c r="S161" s="8"/>
      <c r="T161" s="12"/>
      <c r="U161" s="11"/>
      <c r="V161" s="11" t="s">
        <v>1222</v>
      </c>
    </row>
    <row r="162" spans="1:22" x14ac:dyDescent="0.3">
      <c r="A162" s="54"/>
      <c r="B162" s="18" t="s">
        <v>970</v>
      </c>
      <c r="C162" s="11">
        <v>1.2</v>
      </c>
      <c r="D162" s="11" t="s">
        <v>971</v>
      </c>
      <c r="E162" s="11">
        <v>57.5</v>
      </c>
      <c r="F162" s="11">
        <v>57.5</v>
      </c>
      <c r="G162" s="11">
        <v>55.95</v>
      </c>
      <c r="H162" s="11">
        <v>1.55</v>
      </c>
      <c r="I162" s="11">
        <v>400</v>
      </c>
      <c r="J162" s="11">
        <v>56.45</v>
      </c>
      <c r="K162" s="11">
        <v>400</v>
      </c>
      <c r="L162" s="11">
        <v>56.45</v>
      </c>
      <c r="M162" s="11"/>
      <c r="N162" s="11"/>
      <c r="O162" s="11"/>
      <c r="P162" s="11"/>
      <c r="Q162" s="8">
        <v>266.10000000000002</v>
      </c>
      <c r="R162" s="8"/>
      <c r="S162" s="8"/>
      <c r="T162" s="12"/>
      <c r="U162" s="11"/>
      <c r="V162" s="11" t="s">
        <v>1222</v>
      </c>
    </row>
    <row r="163" spans="1:22" x14ac:dyDescent="0.3">
      <c r="A163" s="53"/>
      <c r="B163" s="18" t="s">
        <v>972</v>
      </c>
      <c r="C163" s="11">
        <v>1.5</v>
      </c>
      <c r="D163" s="11" t="s">
        <v>973</v>
      </c>
      <c r="E163" s="11">
        <v>57.49</v>
      </c>
      <c r="F163" s="11">
        <v>57.49</v>
      </c>
      <c r="G163" s="11">
        <v>55.98</v>
      </c>
      <c r="H163" s="11">
        <v>1.51</v>
      </c>
      <c r="I163" s="11">
        <v>400</v>
      </c>
      <c r="J163" s="11">
        <v>56.48</v>
      </c>
      <c r="K163" s="11">
        <v>400</v>
      </c>
      <c r="L163" s="11">
        <v>56.48</v>
      </c>
      <c r="M163" s="11">
        <v>200</v>
      </c>
      <c r="N163" s="11">
        <v>56.68</v>
      </c>
      <c r="O163" s="11"/>
      <c r="P163" s="11"/>
      <c r="Q163" s="8">
        <v>186.9</v>
      </c>
      <c r="R163" s="8">
        <v>226.2</v>
      </c>
      <c r="S163" s="8"/>
      <c r="T163" s="12">
        <v>56.49</v>
      </c>
      <c r="U163" s="11">
        <v>1</v>
      </c>
      <c r="V163" s="11" t="s">
        <v>1222</v>
      </c>
    </row>
    <row r="164" spans="1:22" x14ac:dyDescent="0.3">
      <c r="A164" s="53"/>
      <c r="B164" s="18" t="s">
        <v>974</v>
      </c>
      <c r="C164" s="11">
        <v>1.5</v>
      </c>
      <c r="D164" s="11" t="s">
        <v>1218</v>
      </c>
      <c r="E164" s="11">
        <v>57.96</v>
      </c>
      <c r="F164" s="11">
        <v>57.96</v>
      </c>
      <c r="G164" s="11">
        <v>56.53</v>
      </c>
      <c r="H164" s="11">
        <v>1.43</v>
      </c>
      <c r="I164" s="11">
        <v>400</v>
      </c>
      <c r="J164" s="11">
        <v>57.03</v>
      </c>
      <c r="K164" s="11"/>
      <c r="L164" s="11"/>
      <c r="M164" s="11"/>
      <c r="N164" s="11"/>
      <c r="O164" s="11"/>
      <c r="P164" s="11"/>
      <c r="Q164" s="8"/>
      <c r="R164" s="8"/>
      <c r="S164" s="8"/>
      <c r="T164" s="12">
        <v>57.46</v>
      </c>
      <c r="U164" s="11">
        <v>1</v>
      </c>
      <c r="V164" s="11" t="s">
        <v>1222</v>
      </c>
    </row>
    <row r="165" spans="1:22" x14ac:dyDescent="0.3">
      <c r="B165" s="11" t="s">
        <v>975</v>
      </c>
      <c r="C165" s="11">
        <v>1.2</v>
      </c>
      <c r="D165" s="11" t="s">
        <v>976</v>
      </c>
      <c r="E165" s="11">
        <v>47.31</v>
      </c>
      <c r="F165" s="11">
        <v>47.31</v>
      </c>
      <c r="G165" s="11">
        <v>45.12</v>
      </c>
      <c r="H165" s="11">
        <v>2.19</v>
      </c>
      <c r="I165" s="11">
        <v>400</v>
      </c>
      <c r="J165" s="11">
        <v>45.62</v>
      </c>
      <c r="K165" s="11">
        <v>400</v>
      </c>
      <c r="L165" s="11">
        <v>45.62</v>
      </c>
      <c r="M165" s="11">
        <v>400</v>
      </c>
      <c r="N165" s="11">
        <v>45.62</v>
      </c>
      <c r="O165" s="11"/>
      <c r="P165" s="11"/>
      <c r="Q165" s="8">
        <v>115.9</v>
      </c>
      <c r="R165" s="8">
        <v>230.3</v>
      </c>
      <c r="S165" s="8"/>
      <c r="T165" s="12"/>
      <c r="U165" s="11"/>
      <c r="V165" s="11" t="s">
        <v>1222</v>
      </c>
    </row>
    <row r="166" spans="1:22" x14ac:dyDescent="0.3">
      <c r="B166" s="11" t="s">
        <v>977</v>
      </c>
      <c r="C166" s="11">
        <v>1.5</v>
      </c>
      <c r="D166" s="11" t="s">
        <v>1219</v>
      </c>
      <c r="E166" s="11">
        <v>46.92</v>
      </c>
      <c r="F166" s="11">
        <v>46.92</v>
      </c>
      <c r="G166" s="11">
        <v>45.5</v>
      </c>
      <c r="H166" s="11">
        <v>1.42</v>
      </c>
      <c r="I166" s="11">
        <v>400</v>
      </c>
      <c r="J166" s="11">
        <v>46</v>
      </c>
      <c r="K166" s="11"/>
      <c r="L166" s="11"/>
      <c r="M166" s="11"/>
      <c r="N166" s="11"/>
      <c r="O166" s="11"/>
      <c r="P166" s="11"/>
      <c r="Q166" s="8"/>
      <c r="R166" s="8"/>
      <c r="S166" s="8"/>
      <c r="T166" s="12">
        <v>46.4</v>
      </c>
      <c r="U166" s="11">
        <v>1</v>
      </c>
      <c r="V166" s="11" t="s">
        <v>1222</v>
      </c>
    </row>
    <row r="167" spans="1:22" x14ac:dyDescent="0.3">
      <c r="B167" s="11" t="s">
        <v>978</v>
      </c>
      <c r="C167" s="11">
        <v>1.5</v>
      </c>
      <c r="D167" s="11" t="s">
        <v>1178</v>
      </c>
      <c r="E167" s="11">
        <v>47.21</v>
      </c>
      <c r="F167" s="11">
        <v>47.21</v>
      </c>
      <c r="G167" s="11">
        <v>45.8</v>
      </c>
      <c r="H167" s="11">
        <v>1.41</v>
      </c>
      <c r="I167" s="11">
        <v>400</v>
      </c>
      <c r="J167" s="11">
        <v>46.3</v>
      </c>
      <c r="K167" s="11"/>
      <c r="L167" s="11"/>
      <c r="M167" s="11"/>
      <c r="N167" s="11"/>
      <c r="O167" s="11"/>
      <c r="P167" s="11"/>
      <c r="Q167" s="8"/>
      <c r="R167" s="8"/>
      <c r="S167" s="8"/>
      <c r="T167" s="12">
        <v>46.64</v>
      </c>
      <c r="U167" s="11">
        <v>1</v>
      </c>
      <c r="V167" s="11" t="s">
        <v>1222</v>
      </c>
    </row>
    <row r="168" spans="1:22" x14ac:dyDescent="0.3">
      <c r="B168" s="11" t="s">
        <v>76</v>
      </c>
      <c r="C168" s="11">
        <v>1.2</v>
      </c>
      <c r="D168" s="11" t="s">
        <v>979</v>
      </c>
      <c r="E168" s="11">
        <v>86.05</v>
      </c>
      <c r="F168" s="11">
        <v>86.05</v>
      </c>
      <c r="G168" s="11">
        <v>84.87</v>
      </c>
      <c r="H168" s="11">
        <v>1.18</v>
      </c>
      <c r="I168" s="11">
        <v>300</v>
      </c>
      <c r="J168" s="11">
        <v>84.87</v>
      </c>
      <c r="K168" s="11"/>
      <c r="L168" s="11"/>
      <c r="M168" s="11"/>
      <c r="N168" s="11"/>
      <c r="O168" s="11"/>
      <c r="P168" s="11"/>
      <c r="Q168" s="8"/>
      <c r="R168" s="8"/>
      <c r="S168" s="8"/>
      <c r="T168" s="12"/>
      <c r="U168" s="11"/>
      <c r="V168" s="11" t="s">
        <v>1222</v>
      </c>
    </row>
    <row r="169" spans="1:22" x14ac:dyDescent="0.3">
      <c r="A169" s="53"/>
      <c r="B169" s="18" t="s">
        <v>980</v>
      </c>
      <c r="C169" s="11">
        <v>1.5</v>
      </c>
      <c r="D169" s="11" t="s">
        <v>981</v>
      </c>
      <c r="E169" s="11">
        <v>54.88</v>
      </c>
      <c r="F169" s="11">
        <v>54.88</v>
      </c>
      <c r="G169" s="11">
        <v>52.25</v>
      </c>
      <c r="H169" s="11">
        <v>2.63</v>
      </c>
      <c r="I169" s="11">
        <v>400</v>
      </c>
      <c r="J169" s="11">
        <v>52.75</v>
      </c>
      <c r="K169" s="11">
        <v>400</v>
      </c>
      <c r="L169" s="11">
        <v>52.75</v>
      </c>
      <c r="M169" s="11">
        <v>200</v>
      </c>
      <c r="N169" s="11">
        <v>52.75</v>
      </c>
      <c r="O169" s="11"/>
      <c r="P169" s="11"/>
      <c r="Q169" s="8">
        <v>271.7</v>
      </c>
      <c r="R169" s="8">
        <v>99</v>
      </c>
      <c r="S169" s="8"/>
      <c r="T169" s="12">
        <v>52.75</v>
      </c>
      <c r="U169" s="11">
        <v>1</v>
      </c>
      <c r="V169" s="11" t="s">
        <v>1222</v>
      </c>
    </row>
    <row r="170" spans="1:22" x14ac:dyDescent="0.3">
      <c r="A170" s="53"/>
      <c r="B170" s="18" t="s">
        <v>982</v>
      </c>
      <c r="C170" s="11">
        <v>1.5</v>
      </c>
      <c r="D170" s="11" t="s">
        <v>1188</v>
      </c>
      <c r="E170" s="11">
        <v>55.67</v>
      </c>
      <c r="F170" s="11">
        <v>55.67</v>
      </c>
      <c r="G170" s="11">
        <v>54.14</v>
      </c>
      <c r="H170" s="11">
        <v>1.53</v>
      </c>
      <c r="I170" s="11">
        <v>400</v>
      </c>
      <c r="J170" s="11">
        <v>54.64</v>
      </c>
      <c r="K170" s="11"/>
      <c r="L170" s="11"/>
      <c r="M170" s="11"/>
      <c r="N170" s="11"/>
      <c r="O170" s="11"/>
      <c r="P170" s="11"/>
      <c r="Q170" s="8"/>
      <c r="R170" s="8"/>
      <c r="S170" s="8"/>
      <c r="T170" s="12">
        <v>54.64</v>
      </c>
      <c r="U170" s="11">
        <v>1</v>
      </c>
      <c r="V170" s="11" t="s">
        <v>1222</v>
      </c>
    </row>
    <row r="171" spans="1:22" x14ac:dyDescent="0.3">
      <c r="A171" s="53"/>
      <c r="B171" s="18" t="s">
        <v>983</v>
      </c>
      <c r="C171" s="11">
        <v>1.5</v>
      </c>
      <c r="D171" s="11" t="s">
        <v>1189</v>
      </c>
      <c r="E171" s="11">
        <v>54.45</v>
      </c>
      <c r="F171" s="11">
        <v>54.45</v>
      </c>
      <c r="G171" s="11">
        <v>52.82</v>
      </c>
      <c r="H171" s="11">
        <v>1.63</v>
      </c>
      <c r="I171" s="11">
        <v>200</v>
      </c>
      <c r="J171" s="11">
        <v>53.32</v>
      </c>
      <c r="K171" s="11"/>
      <c r="L171" s="11"/>
      <c r="M171" s="11"/>
      <c r="N171" s="11"/>
      <c r="O171" s="11"/>
      <c r="P171" s="11"/>
      <c r="Q171" s="8"/>
      <c r="R171" s="8"/>
      <c r="S171" s="8"/>
      <c r="T171" s="12">
        <v>53.32</v>
      </c>
      <c r="U171" s="11">
        <v>1</v>
      </c>
      <c r="V171" s="11" t="s">
        <v>1222</v>
      </c>
    </row>
    <row r="172" spans="1:22" x14ac:dyDescent="0.3">
      <c r="B172" s="18" t="s">
        <v>79</v>
      </c>
      <c r="C172" s="11">
        <v>1.5</v>
      </c>
      <c r="D172" s="11" t="s">
        <v>1190</v>
      </c>
      <c r="E172" s="11">
        <v>49.85</v>
      </c>
      <c r="F172" s="11">
        <v>49.85</v>
      </c>
      <c r="G172" s="11">
        <v>48.35</v>
      </c>
      <c r="H172" s="11">
        <v>1.5</v>
      </c>
      <c r="I172" s="11">
        <v>400</v>
      </c>
      <c r="J172" s="11">
        <v>48.85</v>
      </c>
      <c r="K172" s="11"/>
      <c r="L172" s="11"/>
      <c r="M172" s="11"/>
      <c r="N172" s="11"/>
      <c r="O172" s="11"/>
      <c r="P172" s="11"/>
      <c r="Q172" s="8"/>
      <c r="R172" s="8"/>
      <c r="S172" s="8"/>
      <c r="T172" s="12">
        <v>48.85</v>
      </c>
      <c r="U172" s="11">
        <v>2</v>
      </c>
      <c r="V172" s="11" t="s">
        <v>1222</v>
      </c>
    </row>
    <row r="173" spans="1:22" x14ac:dyDescent="0.3">
      <c r="B173" s="11" t="s">
        <v>984</v>
      </c>
      <c r="C173" s="11">
        <v>1.2</v>
      </c>
      <c r="D173" s="11" t="s">
        <v>985</v>
      </c>
      <c r="E173" s="11">
        <v>41.2</v>
      </c>
      <c r="F173" s="11">
        <v>41.2</v>
      </c>
      <c r="G173" s="11">
        <v>38.659999999999997</v>
      </c>
      <c r="H173" s="11">
        <v>2.54</v>
      </c>
      <c r="I173" s="11">
        <v>400</v>
      </c>
      <c r="J173" s="11">
        <v>40.159999999999997</v>
      </c>
      <c r="K173" s="11">
        <v>400</v>
      </c>
      <c r="L173" s="11">
        <v>40.159999999999997</v>
      </c>
      <c r="M173" s="11"/>
      <c r="N173" s="11"/>
      <c r="O173" s="11"/>
      <c r="P173" s="11"/>
      <c r="Q173" s="8">
        <v>216.5</v>
      </c>
      <c r="R173" s="8"/>
      <c r="S173" s="8"/>
      <c r="T173" s="12"/>
      <c r="U173" s="11"/>
      <c r="V173" s="11" t="s">
        <v>1222</v>
      </c>
    </row>
    <row r="174" spans="1:22" x14ac:dyDescent="0.3">
      <c r="B174" s="11" t="s">
        <v>986</v>
      </c>
      <c r="C174" s="11">
        <v>1.5</v>
      </c>
      <c r="D174" s="11" t="s">
        <v>1191</v>
      </c>
      <c r="E174" s="11">
        <v>41.22</v>
      </c>
      <c r="F174" s="11">
        <v>41.22</v>
      </c>
      <c r="G174" s="11">
        <v>39.729999999999997</v>
      </c>
      <c r="H174" s="11">
        <v>1.49</v>
      </c>
      <c r="I174" s="11">
        <v>400</v>
      </c>
      <c r="J174" s="11">
        <v>40.229999999999997</v>
      </c>
      <c r="K174" s="11"/>
      <c r="L174" s="11"/>
      <c r="M174" s="11"/>
      <c r="N174" s="11"/>
      <c r="O174" s="11"/>
      <c r="P174" s="11"/>
      <c r="Q174" s="8"/>
      <c r="R174" s="8"/>
      <c r="S174" s="8"/>
      <c r="T174" s="12">
        <v>40.32</v>
      </c>
      <c r="U174" s="11">
        <v>1</v>
      </c>
      <c r="V174" s="11" t="s">
        <v>1222</v>
      </c>
    </row>
    <row r="175" spans="1:22" x14ac:dyDescent="0.3">
      <c r="B175" s="11" t="s">
        <v>82</v>
      </c>
      <c r="C175" s="11">
        <v>1.2</v>
      </c>
      <c r="D175" s="11" t="s">
        <v>987</v>
      </c>
      <c r="E175" s="11">
        <v>66.84</v>
      </c>
      <c r="F175" s="11">
        <v>66.84</v>
      </c>
      <c r="G175" s="11">
        <v>61.21</v>
      </c>
      <c r="H175" s="11">
        <v>5.63</v>
      </c>
      <c r="I175" s="11">
        <v>200</v>
      </c>
      <c r="J175" s="11">
        <v>61.21</v>
      </c>
      <c r="K175" s="11"/>
      <c r="L175" s="11"/>
      <c r="M175" s="11">
        <v>200</v>
      </c>
      <c r="N175" s="11">
        <v>65.11</v>
      </c>
      <c r="O175" s="11"/>
      <c r="P175" s="11"/>
      <c r="Q175" s="8"/>
      <c r="R175" s="8">
        <v>262.39999999999998</v>
      </c>
      <c r="S175" s="8"/>
      <c r="T175" s="12"/>
      <c r="U175" s="11"/>
      <c r="V175" s="11" t="s">
        <v>1222</v>
      </c>
    </row>
    <row r="176" spans="1:22" x14ac:dyDescent="0.3">
      <c r="B176" s="11" t="s">
        <v>988</v>
      </c>
      <c r="C176" s="11">
        <v>1.5</v>
      </c>
      <c r="D176" s="11" t="s">
        <v>989</v>
      </c>
      <c r="E176" s="11">
        <v>61</v>
      </c>
      <c r="F176" s="11">
        <v>61</v>
      </c>
      <c r="G176" s="11">
        <v>58.81</v>
      </c>
      <c r="H176" s="11">
        <v>2.19</v>
      </c>
      <c r="I176" s="11">
        <v>400</v>
      </c>
      <c r="J176" s="11">
        <v>59.31</v>
      </c>
      <c r="K176" s="11">
        <v>400</v>
      </c>
      <c r="L176" s="11">
        <v>59.31</v>
      </c>
      <c r="M176" s="11">
        <v>250</v>
      </c>
      <c r="N176" s="11">
        <v>59.85</v>
      </c>
      <c r="O176" s="11"/>
      <c r="P176" s="11"/>
      <c r="Q176" s="8">
        <v>152</v>
      </c>
      <c r="R176" s="8">
        <v>180</v>
      </c>
      <c r="S176" s="8"/>
      <c r="T176" s="12">
        <v>60.49</v>
      </c>
      <c r="U176" s="11">
        <v>1</v>
      </c>
      <c r="V176" s="11" t="s">
        <v>1222</v>
      </c>
    </row>
    <row r="177" spans="1:62" x14ac:dyDescent="0.3">
      <c r="B177" s="11" t="s">
        <v>990</v>
      </c>
      <c r="C177" s="11">
        <v>1.5</v>
      </c>
      <c r="D177" s="11" t="s">
        <v>991</v>
      </c>
      <c r="E177" s="11">
        <v>61.27</v>
      </c>
      <c r="F177" s="11">
        <v>61.27</v>
      </c>
      <c r="G177" s="11">
        <v>59.41</v>
      </c>
      <c r="H177" s="11">
        <v>1.86</v>
      </c>
      <c r="I177" s="11">
        <v>400</v>
      </c>
      <c r="J177" s="11">
        <v>59.91</v>
      </c>
      <c r="K177" s="11"/>
      <c r="L177" s="11"/>
      <c r="M177" s="11"/>
      <c r="N177" s="11"/>
      <c r="O177" s="11"/>
      <c r="P177" s="11"/>
      <c r="Q177" s="8"/>
      <c r="R177" s="8"/>
      <c r="S177" s="8"/>
      <c r="T177" s="12">
        <v>60.48</v>
      </c>
      <c r="U177" s="11">
        <v>1</v>
      </c>
      <c r="V177" s="11" t="s">
        <v>1222</v>
      </c>
    </row>
    <row r="178" spans="1:62" x14ac:dyDescent="0.3">
      <c r="B178" s="11" t="s">
        <v>993</v>
      </c>
      <c r="C178" s="11">
        <v>1.2</v>
      </c>
      <c r="D178" s="11" t="s">
        <v>994</v>
      </c>
      <c r="E178" s="11">
        <v>64.5</v>
      </c>
      <c r="F178" s="11">
        <v>64.5</v>
      </c>
      <c r="G178" s="11">
        <v>60.91</v>
      </c>
      <c r="H178" s="11">
        <v>3.59</v>
      </c>
      <c r="I178" s="11">
        <v>250</v>
      </c>
      <c r="J178" s="11">
        <v>60.91</v>
      </c>
      <c r="K178" s="11">
        <v>250</v>
      </c>
      <c r="L178" s="11">
        <v>63.71</v>
      </c>
      <c r="M178" s="11"/>
      <c r="N178" s="11"/>
      <c r="O178" s="11"/>
      <c r="P178" s="11"/>
      <c r="Q178" s="8">
        <v>179.9</v>
      </c>
      <c r="R178" s="8"/>
      <c r="S178" s="11"/>
      <c r="T178" s="12"/>
      <c r="U178" s="11"/>
      <c r="V178" s="11" t="s">
        <v>1222</v>
      </c>
    </row>
    <row r="179" spans="1:62" x14ac:dyDescent="0.3">
      <c r="B179" s="11" t="s">
        <v>995</v>
      </c>
      <c r="C179" s="11">
        <v>1.5</v>
      </c>
      <c r="D179" s="11" t="s">
        <v>996</v>
      </c>
      <c r="E179" s="11">
        <v>52.96</v>
      </c>
      <c r="F179" s="11">
        <v>52.96</v>
      </c>
      <c r="G179" s="11">
        <v>48.97</v>
      </c>
      <c r="H179" s="11">
        <v>3.99</v>
      </c>
      <c r="I179" s="11">
        <v>250</v>
      </c>
      <c r="J179" s="11">
        <v>49.47</v>
      </c>
      <c r="K179" s="11">
        <v>250</v>
      </c>
      <c r="L179" s="11">
        <v>49.47</v>
      </c>
      <c r="M179" s="11">
        <v>200</v>
      </c>
      <c r="N179" s="11">
        <v>51.81</v>
      </c>
      <c r="O179" s="11">
        <v>200</v>
      </c>
      <c r="P179" s="11">
        <v>51.63</v>
      </c>
      <c r="Q179" s="8">
        <v>94.9</v>
      </c>
      <c r="R179" s="8">
        <v>122.1</v>
      </c>
      <c r="S179" s="11">
        <v>176.6</v>
      </c>
      <c r="T179" s="12"/>
      <c r="U179" s="11"/>
      <c r="V179" s="11" t="s">
        <v>1222</v>
      </c>
    </row>
    <row r="180" spans="1:62" x14ac:dyDescent="0.3">
      <c r="B180" s="11" t="s">
        <v>997</v>
      </c>
      <c r="C180" s="11">
        <v>1.2</v>
      </c>
      <c r="D180" s="11" t="s">
        <v>998</v>
      </c>
      <c r="E180" s="11">
        <v>53.79</v>
      </c>
      <c r="F180" s="11">
        <v>53.79</v>
      </c>
      <c r="G180" s="11">
        <v>50.4</v>
      </c>
      <c r="H180" s="11">
        <v>3.39</v>
      </c>
      <c r="I180" s="11">
        <v>250</v>
      </c>
      <c r="J180" s="11">
        <v>50.4</v>
      </c>
      <c r="K180" s="11">
        <v>250</v>
      </c>
      <c r="L180" s="11">
        <v>52.36</v>
      </c>
      <c r="M180" s="11"/>
      <c r="N180" s="11"/>
      <c r="O180" s="11"/>
      <c r="P180" s="11"/>
      <c r="Q180" s="8">
        <v>199.4</v>
      </c>
      <c r="R180" s="8"/>
      <c r="S180" s="11"/>
      <c r="T180" s="12"/>
      <c r="U180" s="11"/>
      <c r="V180" s="11" t="s">
        <v>1222</v>
      </c>
    </row>
    <row r="181" spans="1:62" x14ac:dyDescent="0.3">
      <c r="B181" s="11" t="s">
        <v>999</v>
      </c>
      <c r="C181" s="11">
        <v>1.2</v>
      </c>
      <c r="D181" s="11" t="s">
        <v>1000</v>
      </c>
      <c r="E181" s="11">
        <v>40.700000000000003</v>
      </c>
      <c r="F181" s="11">
        <v>40.700000000000003</v>
      </c>
      <c r="G181" s="11">
        <v>39.020000000000003</v>
      </c>
      <c r="H181" s="11">
        <v>1.68</v>
      </c>
      <c r="I181" s="11">
        <v>400</v>
      </c>
      <c r="J181" s="11">
        <v>39.520000000000003</v>
      </c>
      <c r="K181" s="11">
        <v>400</v>
      </c>
      <c r="L181" s="11">
        <v>39.520000000000003</v>
      </c>
      <c r="M181" s="11"/>
      <c r="N181" s="11"/>
      <c r="O181" s="11"/>
      <c r="P181" s="11"/>
      <c r="Q181" s="8">
        <v>222.7</v>
      </c>
      <c r="R181" s="8"/>
      <c r="S181" s="11"/>
      <c r="T181" s="12"/>
      <c r="U181" s="11"/>
      <c r="V181" s="11" t="s">
        <v>1222</v>
      </c>
    </row>
    <row r="182" spans="1:62" x14ac:dyDescent="0.3">
      <c r="B182" s="11" t="s">
        <v>1001</v>
      </c>
      <c r="C182" s="11">
        <v>1.2</v>
      </c>
      <c r="D182" s="11" t="s">
        <v>1002</v>
      </c>
      <c r="E182" s="11">
        <v>40.700000000000003</v>
      </c>
      <c r="F182" s="11">
        <v>40.700000000000003</v>
      </c>
      <c r="G182" s="11">
        <v>39.090000000000003</v>
      </c>
      <c r="H182" s="11">
        <v>1.61</v>
      </c>
      <c r="I182" s="11">
        <v>400</v>
      </c>
      <c r="J182" s="11">
        <v>39.590000000000003</v>
      </c>
      <c r="K182" s="11">
        <v>400</v>
      </c>
      <c r="L182" s="11">
        <v>39.590000000000003</v>
      </c>
      <c r="M182" s="11"/>
      <c r="N182" s="11"/>
      <c r="O182" s="11"/>
      <c r="P182" s="11"/>
      <c r="Q182" s="8">
        <v>104.3</v>
      </c>
      <c r="R182" s="8"/>
      <c r="S182" s="11"/>
      <c r="T182" s="12"/>
      <c r="U182" s="11"/>
      <c r="V182" s="11" t="s">
        <v>1222</v>
      </c>
    </row>
    <row r="183" spans="1:62" x14ac:dyDescent="0.3">
      <c r="B183" s="11" t="s">
        <v>1003</v>
      </c>
      <c r="C183" s="11">
        <v>1.2</v>
      </c>
      <c r="D183" s="11" t="s">
        <v>864</v>
      </c>
      <c r="E183" s="11">
        <v>40.700000000000003</v>
      </c>
      <c r="F183" s="11">
        <v>40.700000000000003</v>
      </c>
      <c r="G183" s="11">
        <v>38.6</v>
      </c>
      <c r="H183" s="11">
        <v>2.1</v>
      </c>
      <c r="I183" s="11">
        <v>400</v>
      </c>
      <c r="J183" s="11">
        <v>39.6</v>
      </c>
      <c r="K183" s="11">
        <v>400</v>
      </c>
      <c r="L183" s="11">
        <v>39.6</v>
      </c>
      <c r="M183" s="11"/>
      <c r="N183" s="11"/>
      <c r="O183" s="11"/>
      <c r="P183" s="11"/>
      <c r="Q183" s="8">
        <v>185.4</v>
      </c>
      <c r="R183" s="8"/>
      <c r="S183" s="11"/>
      <c r="T183" s="12"/>
      <c r="U183" s="11"/>
      <c r="V183" s="11" t="s">
        <v>1222</v>
      </c>
    </row>
    <row r="184" spans="1:62" s="2" customFormat="1" x14ac:dyDescent="0.3">
      <c r="A184" s="1"/>
      <c r="B184" s="11" t="s">
        <v>1004</v>
      </c>
      <c r="C184" s="11">
        <v>1.5</v>
      </c>
      <c r="D184" s="11" t="s">
        <v>1005</v>
      </c>
      <c r="E184" s="11">
        <v>40.83</v>
      </c>
      <c r="F184" s="11">
        <v>40.83</v>
      </c>
      <c r="G184" s="11">
        <v>39.119999999999997</v>
      </c>
      <c r="H184" s="11">
        <v>1.71</v>
      </c>
      <c r="I184" s="11">
        <v>400</v>
      </c>
      <c r="J184" s="11">
        <v>39.619999999999997</v>
      </c>
      <c r="K184" s="11">
        <v>400</v>
      </c>
      <c r="L184" s="11">
        <v>39.619999999999997</v>
      </c>
      <c r="M184" s="11"/>
      <c r="N184" s="11"/>
      <c r="O184" s="11"/>
      <c r="P184" s="11"/>
      <c r="Q184" s="8">
        <v>262.60000000000002</v>
      </c>
      <c r="R184" s="8"/>
      <c r="S184" s="11"/>
      <c r="T184" s="12">
        <v>40.29</v>
      </c>
      <c r="U184" s="11">
        <v>1</v>
      </c>
      <c r="V184" s="11" t="s">
        <v>1222</v>
      </c>
      <c r="W184" s="1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</row>
    <row r="185" spans="1:62" s="2" customFormat="1" x14ac:dyDescent="0.3">
      <c r="A185" s="1"/>
      <c r="B185" s="11" t="s">
        <v>1006</v>
      </c>
      <c r="C185" s="11">
        <v>1.5</v>
      </c>
      <c r="D185" s="11" t="s">
        <v>1220</v>
      </c>
      <c r="E185" s="11">
        <v>40.79</v>
      </c>
      <c r="F185" s="11">
        <v>40.79</v>
      </c>
      <c r="G185" s="11">
        <v>39.36</v>
      </c>
      <c r="H185" s="11">
        <v>1.43</v>
      </c>
      <c r="I185" s="11">
        <v>400</v>
      </c>
      <c r="J185" s="11">
        <v>39.86</v>
      </c>
      <c r="K185" s="11"/>
      <c r="L185" s="11"/>
      <c r="M185" s="11"/>
      <c r="N185" s="11"/>
      <c r="O185" s="11"/>
      <c r="P185" s="11"/>
      <c r="Q185" s="8"/>
      <c r="R185" s="8"/>
      <c r="S185" s="11"/>
      <c r="T185" s="12">
        <v>40.14</v>
      </c>
      <c r="U185" s="11">
        <v>2</v>
      </c>
      <c r="V185" s="11" t="s">
        <v>1222</v>
      </c>
      <c r="W185" s="1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</row>
    <row r="186" spans="1:62" s="2" customFormat="1" x14ac:dyDescent="0.3">
      <c r="A186" s="1"/>
      <c r="B186" s="11" t="s">
        <v>108</v>
      </c>
      <c r="C186" s="11">
        <v>1.5</v>
      </c>
      <c r="D186" s="11" t="s">
        <v>1007</v>
      </c>
      <c r="E186" s="11">
        <v>83.81</v>
      </c>
      <c r="F186" s="11">
        <v>83.81</v>
      </c>
      <c r="G186" s="11">
        <v>82.26</v>
      </c>
      <c r="H186" s="11">
        <v>1.55</v>
      </c>
      <c r="I186" s="11">
        <v>500</v>
      </c>
      <c r="J186" s="11">
        <v>82.76</v>
      </c>
      <c r="K186" s="11"/>
      <c r="L186" s="11"/>
      <c r="M186" s="11"/>
      <c r="N186" s="11"/>
      <c r="O186" s="11"/>
      <c r="P186" s="11"/>
      <c r="Q186" s="8"/>
      <c r="R186" s="8"/>
      <c r="S186" s="8"/>
      <c r="T186" s="12">
        <v>82.76</v>
      </c>
      <c r="U186" s="11">
        <v>2</v>
      </c>
      <c r="V186" s="11" t="s">
        <v>1222</v>
      </c>
      <c r="W186" s="1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</row>
    <row r="187" spans="1:62" x14ac:dyDescent="0.3">
      <c r="B187" s="11" t="s">
        <v>1008</v>
      </c>
      <c r="C187" s="11">
        <v>1.2</v>
      </c>
      <c r="D187" s="11" t="s">
        <v>1009</v>
      </c>
      <c r="E187" s="11">
        <v>51.04</v>
      </c>
      <c r="F187" s="11">
        <v>51.04</v>
      </c>
      <c r="G187" s="11">
        <v>47.54</v>
      </c>
      <c r="H187" s="11">
        <v>3.5</v>
      </c>
      <c r="I187" s="11">
        <v>250</v>
      </c>
      <c r="J187" s="11">
        <v>48.04</v>
      </c>
      <c r="K187" s="11">
        <v>250</v>
      </c>
      <c r="L187" s="11">
        <v>49.09</v>
      </c>
      <c r="M187" s="11"/>
      <c r="N187" s="11"/>
      <c r="O187" s="11"/>
      <c r="P187" s="11"/>
      <c r="Q187" s="8">
        <v>109.8</v>
      </c>
      <c r="R187" s="8"/>
      <c r="S187" s="11"/>
      <c r="T187" s="12"/>
      <c r="U187" s="11"/>
      <c r="V187" s="11" t="s">
        <v>1222</v>
      </c>
    </row>
    <row r="188" spans="1:62" s="2" customFormat="1" x14ac:dyDescent="0.3">
      <c r="A188" s="1"/>
      <c r="B188" s="11" t="s">
        <v>140</v>
      </c>
      <c r="C188" s="11">
        <v>1.5</v>
      </c>
      <c r="D188" s="11" t="s">
        <v>1250</v>
      </c>
      <c r="E188" s="11">
        <v>44.3</v>
      </c>
      <c r="F188" s="11">
        <v>44.3</v>
      </c>
      <c r="G188" s="11">
        <v>42.75</v>
      </c>
      <c r="H188" s="11">
        <v>1.55</v>
      </c>
      <c r="I188" s="11">
        <v>400</v>
      </c>
      <c r="J188" s="11">
        <v>43.25</v>
      </c>
      <c r="K188" s="11"/>
      <c r="L188" s="11"/>
      <c r="M188" s="11"/>
      <c r="N188" s="11"/>
      <c r="O188" s="11"/>
      <c r="P188" s="11"/>
      <c r="Q188" s="8"/>
      <c r="R188" s="8"/>
      <c r="S188" s="8"/>
      <c r="T188" s="12">
        <v>43.25</v>
      </c>
      <c r="U188" s="11">
        <v>1</v>
      </c>
      <c r="V188" s="11" t="s">
        <v>1222</v>
      </c>
      <c r="W188" s="1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</row>
    <row r="189" spans="1:62" s="2" customFormat="1" x14ac:dyDescent="0.3">
      <c r="A189" s="1"/>
      <c r="B189" s="11" t="s">
        <v>155</v>
      </c>
      <c r="C189" s="11">
        <v>1.5</v>
      </c>
      <c r="D189" s="11" t="s">
        <v>1193</v>
      </c>
      <c r="E189" s="11">
        <v>41.19</v>
      </c>
      <c r="F189" s="11">
        <v>41.19</v>
      </c>
      <c r="G189" s="11">
        <v>39.79</v>
      </c>
      <c r="H189" s="11">
        <v>1.4</v>
      </c>
      <c r="I189" s="11">
        <v>400</v>
      </c>
      <c r="J189" s="11">
        <v>40.29</v>
      </c>
      <c r="K189" s="11"/>
      <c r="L189" s="11"/>
      <c r="M189" s="11"/>
      <c r="N189" s="11"/>
      <c r="O189" s="11"/>
      <c r="P189" s="11"/>
      <c r="Q189" s="8"/>
      <c r="R189" s="8"/>
      <c r="S189" s="11"/>
      <c r="T189" s="12">
        <v>40.29</v>
      </c>
      <c r="U189" s="11">
        <v>1</v>
      </c>
      <c r="V189" s="11" t="s">
        <v>1222</v>
      </c>
      <c r="W189" s="1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</row>
    <row r="190" spans="1:62" x14ac:dyDescent="0.3">
      <c r="B190" s="11" t="s">
        <v>1010</v>
      </c>
      <c r="C190" s="11">
        <v>1.2</v>
      </c>
      <c r="D190" s="11" t="s">
        <v>1011</v>
      </c>
      <c r="E190" s="11">
        <v>48.59</v>
      </c>
      <c r="F190" s="11">
        <v>48.59</v>
      </c>
      <c r="G190" s="11">
        <v>45.74</v>
      </c>
      <c r="H190" s="11">
        <v>2.85</v>
      </c>
      <c r="I190" s="11">
        <v>250</v>
      </c>
      <c r="J190" s="11">
        <v>46.24</v>
      </c>
      <c r="K190" s="11">
        <v>250</v>
      </c>
      <c r="L190" s="11">
        <v>46.24</v>
      </c>
      <c r="M190" s="11">
        <v>200</v>
      </c>
      <c r="N190" s="11">
        <v>46.24</v>
      </c>
      <c r="O190" s="11"/>
      <c r="P190" s="11"/>
      <c r="Q190" s="8">
        <v>259.89999999999998</v>
      </c>
      <c r="R190" s="8">
        <v>113.3</v>
      </c>
      <c r="S190" s="11"/>
      <c r="T190" s="12"/>
      <c r="U190" s="11"/>
      <c r="V190" s="11" t="s">
        <v>1222</v>
      </c>
    </row>
    <row r="191" spans="1:62" s="2" customFormat="1" x14ac:dyDescent="0.3">
      <c r="A191" s="1"/>
      <c r="B191" s="11" t="s">
        <v>160</v>
      </c>
      <c r="C191" s="11">
        <v>1.5</v>
      </c>
      <c r="D191" s="11" t="s">
        <v>1192</v>
      </c>
      <c r="E191" s="11">
        <v>57.61</v>
      </c>
      <c r="F191" s="11">
        <v>57.61</v>
      </c>
      <c r="G191" s="11">
        <v>56.26</v>
      </c>
      <c r="H191" s="11">
        <v>1.35</v>
      </c>
      <c r="I191" s="11">
        <v>400</v>
      </c>
      <c r="J191" s="11">
        <v>56.76</v>
      </c>
      <c r="K191" s="11"/>
      <c r="L191" s="11"/>
      <c r="M191" s="11"/>
      <c r="N191" s="11"/>
      <c r="O191" s="11"/>
      <c r="P191" s="11"/>
      <c r="Q191" s="8"/>
      <c r="R191" s="8"/>
      <c r="S191" s="11"/>
      <c r="T191" s="12">
        <v>56.76</v>
      </c>
      <c r="U191" s="11">
        <v>2</v>
      </c>
      <c r="V191" s="11" t="s">
        <v>1222</v>
      </c>
      <c r="W191" s="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</row>
    <row r="192" spans="1:62" x14ac:dyDescent="0.3">
      <c r="B192" s="11" t="s">
        <v>1012</v>
      </c>
      <c r="C192" s="11">
        <v>1.2</v>
      </c>
      <c r="D192" s="11" t="s">
        <v>1013</v>
      </c>
      <c r="E192" s="11">
        <v>86.9</v>
      </c>
      <c r="F192" s="11">
        <v>86.9</v>
      </c>
      <c r="G192" s="11">
        <v>85.43</v>
      </c>
      <c r="H192" s="11">
        <v>1.47</v>
      </c>
      <c r="I192" s="11">
        <v>200</v>
      </c>
      <c r="J192" s="11">
        <v>85.93</v>
      </c>
      <c r="K192" s="11">
        <v>200</v>
      </c>
      <c r="L192" s="11">
        <v>85.93</v>
      </c>
      <c r="M192" s="11"/>
      <c r="N192" s="11"/>
      <c r="O192" s="11"/>
      <c r="P192" s="11"/>
      <c r="Q192" s="8">
        <v>191.3</v>
      </c>
      <c r="R192" s="8"/>
      <c r="S192" s="11"/>
      <c r="T192" s="12"/>
      <c r="U192" s="11"/>
      <c r="V192" s="11" t="s">
        <v>1222</v>
      </c>
    </row>
    <row r="193" spans="1:62" x14ac:dyDescent="0.3">
      <c r="B193" s="11" t="s">
        <v>163</v>
      </c>
      <c r="C193" s="11">
        <v>1.5</v>
      </c>
      <c r="D193" s="11" t="s">
        <v>1014</v>
      </c>
      <c r="E193" s="11">
        <v>83.07</v>
      </c>
      <c r="F193" s="11">
        <v>83.07</v>
      </c>
      <c r="G193" s="11">
        <v>81.38</v>
      </c>
      <c r="H193" s="11">
        <v>1.69</v>
      </c>
      <c r="I193" s="11">
        <v>400</v>
      </c>
      <c r="J193" s="11">
        <v>81.88</v>
      </c>
      <c r="K193" s="11"/>
      <c r="L193" s="11"/>
      <c r="M193" s="11"/>
      <c r="N193" s="11"/>
      <c r="O193" s="11"/>
      <c r="P193" s="11"/>
      <c r="Q193" s="8"/>
      <c r="R193" s="8"/>
      <c r="S193" s="11"/>
      <c r="T193" s="12">
        <v>81.92</v>
      </c>
      <c r="U193" s="11">
        <v>2</v>
      </c>
      <c r="V193" s="11" t="s">
        <v>1222</v>
      </c>
    </row>
    <row r="194" spans="1:62" x14ac:dyDescent="0.3">
      <c r="B194" s="11" t="s">
        <v>1015</v>
      </c>
      <c r="C194" s="11">
        <v>1.2</v>
      </c>
      <c r="D194" s="11" t="s">
        <v>1016</v>
      </c>
      <c r="E194" s="11">
        <v>55.96</v>
      </c>
      <c r="F194" s="11">
        <v>55.96</v>
      </c>
      <c r="G194" s="11">
        <v>54.06</v>
      </c>
      <c r="H194" s="11">
        <v>1.9</v>
      </c>
      <c r="I194" s="11">
        <v>250</v>
      </c>
      <c r="J194" s="11">
        <v>54.56</v>
      </c>
      <c r="K194" s="11">
        <v>250</v>
      </c>
      <c r="L194" s="11">
        <v>54.56</v>
      </c>
      <c r="M194" s="11" t="s">
        <v>1370</v>
      </c>
      <c r="N194" s="11"/>
      <c r="O194" s="11"/>
      <c r="P194" s="11"/>
      <c r="Q194" s="8">
        <v>130.69999999999999</v>
      </c>
      <c r="R194" s="8"/>
      <c r="S194" s="11"/>
      <c r="T194" s="12"/>
      <c r="U194" s="11"/>
      <c r="V194" s="11" t="s">
        <v>1222</v>
      </c>
    </row>
    <row r="195" spans="1:62" x14ac:dyDescent="0.3">
      <c r="B195" s="11" t="s">
        <v>1248</v>
      </c>
      <c r="C195" s="11">
        <v>1.2</v>
      </c>
      <c r="D195" s="11" t="s">
        <v>1249</v>
      </c>
      <c r="E195" s="11">
        <v>48.73</v>
      </c>
      <c r="F195" s="11">
        <v>48.73</v>
      </c>
      <c r="G195" s="11">
        <v>46.38</v>
      </c>
      <c r="H195" s="11">
        <v>2.35</v>
      </c>
      <c r="I195" s="11">
        <v>200</v>
      </c>
      <c r="J195" s="11">
        <v>46.88</v>
      </c>
      <c r="K195" s="11">
        <v>200</v>
      </c>
      <c r="L195" s="11">
        <v>46.88</v>
      </c>
      <c r="M195" s="11"/>
      <c r="N195" s="11"/>
      <c r="O195" s="11"/>
      <c r="P195" s="11"/>
      <c r="Q195" s="8">
        <v>128.30000000000001</v>
      </c>
      <c r="R195" s="8"/>
      <c r="S195" s="8"/>
      <c r="T195" s="8"/>
      <c r="U195" s="11"/>
      <c r="V195" s="11" t="s">
        <v>1222</v>
      </c>
    </row>
    <row r="196" spans="1:62" s="2" customFormat="1" x14ac:dyDescent="0.3">
      <c r="A196" s="1"/>
      <c r="B196" s="11" t="s">
        <v>1017</v>
      </c>
      <c r="C196" s="11">
        <v>2</v>
      </c>
      <c r="D196" s="11" t="s">
        <v>1018</v>
      </c>
      <c r="E196" s="11">
        <v>83.57</v>
      </c>
      <c r="F196" s="11">
        <v>83.57</v>
      </c>
      <c r="G196" s="11">
        <v>81.97</v>
      </c>
      <c r="H196" s="11">
        <v>1.6</v>
      </c>
      <c r="I196" s="11">
        <v>400</v>
      </c>
      <c r="J196" s="11">
        <v>82.47</v>
      </c>
      <c r="K196" s="11">
        <v>400</v>
      </c>
      <c r="L196" s="11">
        <v>82.47</v>
      </c>
      <c r="M196" s="11"/>
      <c r="N196" s="11"/>
      <c r="O196" s="11"/>
      <c r="P196" s="11"/>
      <c r="Q196" s="8">
        <v>236.4</v>
      </c>
      <c r="R196" s="8"/>
      <c r="S196" s="11"/>
      <c r="T196" s="12">
        <v>82.47</v>
      </c>
      <c r="U196" s="11">
        <v>1</v>
      </c>
      <c r="V196" s="11" t="s">
        <v>1222</v>
      </c>
      <c r="W196" s="1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</row>
    <row r="197" spans="1:62" s="2" customFormat="1" x14ac:dyDescent="0.3">
      <c r="A197" s="1"/>
      <c r="B197" s="11" t="s">
        <v>1019</v>
      </c>
      <c r="C197" s="11">
        <v>1.5</v>
      </c>
      <c r="D197" s="11" t="s">
        <v>1020</v>
      </c>
      <c r="E197" s="11">
        <v>83.5</v>
      </c>
      <c r="F197" s="11">
        <v>83.5</v>
      </c>
      <c r="G197" s="11">
        <v>82.1</v>
      </c>
      <c r="H197" s="11">
        <v>1.4</v>
      </c>
      <c r="I197" s="11">
        <v>400</v>
      </c>
      <c r="J197" s="11">
        <v>82.6</v>
      </c>
      <c r="K197" s="11"/>
      <c r="L197" s="11"/>
      <c r="M197" s="11"/>
      <c r="N197" s="11"/>
      <c r="O197" s="11"/>
      <c r="P197" s="11"/>
      <c r="Q197" s="8"/>
      <c r="R197" s="8"/>
      <c r="S197" s="11"/>
      <c r="T197" s="12">
        <v>82.6</v>
      </c>
      <c r="U197" s="11">
        <v>1</v>
      </c>
      <c r="V197" s="11" t="s">
        <v>1222</v>
      </c>
      <c r="W197" s="1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</row>
    <row r="198" spans="1:62" s="2" customFormat="1" x14ac:dyDescent="0.3">
      <c r="A198" s="1"/>
      <c r="B198" s="11" t="s">
        <v>1196</v>
      </c>
      <c r="C198" s="11">
        <v>1</v>
      </c>
      <c r="D198" s="11" t="s">
        <v>1198</v>
      </c>
      <c r="E198" s="11">
        <v>87.21</v>
      </c>
      <c r="F198" s="11">
        <v>88.03</v>
      </c>
      <c r="G198" s="11">
        <v>84.71</v>
      </c>
      <c r="H198" s="11">
        <f>E198-G198</f>
        <v>2.5</v>
      </c>
      <c r="I198" s="11"/>
      <c r="J198" s="11"/>
      <c r="K198" s="11"/>
      <c r="L198" s="11"/>
      <c r="M198" s="11"/>
      <c r="N198" s="11"/>
      <c r="O198" s="11"/>
      <c r="P198" s="11"/>
      <c r="Q198" s="8"/>
      <c r="R198" s="8"/>
      <c r="S198" s="11"/>
      <c r="T198" s="12">
        <v>86.71</v>
      </c>
      <c r="U198" s="11"/>
      <c r="V198" s="11" t="s">
        <v>1222</v>
      </c>
      <c r="W198" s="1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</row>
    <row r="199" spans="1:62" x14ac:dyDescent="0.3">
      <c r="B199" s="11" t="s">
        <v>1197</v>
      </c>
      <c r="C199" s="11">
        <v>1.5</v>
      </c>
      <c r="D199" s="11" t="s">
        <v>1198</v>
      </c>
      <c r="E199" s="11">
        <v>87.54</v>
      </c>
      <c r="F199" s="11">
        <v>88.65</v>
      </c>
      <c r="G199" s="11">
        <v>85.04</v>
      </c>
      <c r="H199" s="11">
        <f>E199-G199</f>
        <v>2.5</v>
      </c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2">
        <v>87.04</v>
      </c>
      <c r="U199" s="11"/>
      <c r="V199" s="11" t="s">
        <v>1222</v>
      </c>
    </row>
  </sheetData>
  <mergeCells count="20">
    <mergeCell ref="B10:D10"/>
    <mergeCell ref="B11:D11"/>
    <mergeCell ref="B12:D12"/>
    <mergeCell ref="B4:C4"/>
    <mergeCell ref="V119:V124"/>
    <mergeCell ref="B15:H15"/>
    <mergeCell ref="E5:H5"/>
    <mergeCell ref="E6:H6"/>
    <mergeCell ref="E7:H7"/>
    <mergeCell ref="E8:H8"/>
    <mergeCell ref="E9:H9"/>
    <mergeCell ref="E10:H10"/>
    <mergeCell ref="E11:H11"/>
    <mergeCell ref="E12:H12"/>
    <mergeCell ref="E13:H13"/>
    <mergeCell ref="B5:D5"/>
    <mergeCell ref="B6:D6"/>
    <mergeCell ref="B7:D7"/>
    <mergeCell ref="B8:D8"/>
    <mergeCell ref="B9:D9"/>
  </mergeCells>
  <pageMargins left="0.7" right="0.7" top="0.75" bottom="0.75" header="0.3" footer="0.3"/>
  <pageSetup paperSize="9" scale="54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460"/>
  <sheetViews>
    <sheetView topLeftCell="A17" zoomScale="85" zoomScaleNormal="85" workbookViewId="0">
      <selection activeCell="B29" sqref="B29"/>
    </sheetView>
  </sheetViews>
  <sheetFormatPr defaultColWidth="9.109375" defaultRowHeight="14.4" x14ac:dyDescent="0.3"/>
  <cols>
    <col min="1" max="1" width="9.109375" style="1"/>
    <col min="2" max="2" width="15.109375" style="1" customWidth="1"/>
    <col min="3" max="12" width="9.109375" style="1" customWidth="1"/>
    <col min="13" max="13" width="12.109375" style="1" customWidth="1"/>
    <col min="14" max="17" width="9.109375" style="1" customWidth="1"/>
    <col min="18" max="18" width="10.5546875" style="1" customWidth="1"/>
    <col min="19" max="16384" width="9.109375" style="1"/>
  </cols>
  <sheetData>
    <row r="3" spans="2:18" x14ac:dyDescent="0.3">
      <c r="B3" s="1" t="s">
        <v>1297</v>
      </c>
    </row>
    <row r="4" spans="2:18" x14ac:dyDescent="0.3">
      <c r="B4" s="60" t="s">
        <v>725</v>
      </c>
      <c r="C4" s="60"/>
      <c r="D4" s="60"/>
      <c r="E4" s="60"/>
      <c r="G4" s="60" t="s">
        <v>730</v>
      </c>
      <c r="H4" s="60"/>
      <c r="I4" s="60"/>
      <c r="J4" s="60"/>
      <c r="K4" s="60"/>
    </row>
    <row r="5" spans="2:18" x14ac:dyDescent="0.3">
      <c r="B5" s="60" t="s">
        <v>726</v>
      </c>
      <c r="C5" s="60"/>
      <c r="D5" s="60"/>
      <c r="E5" s="60"/>
      <c r="G5" s="60" t="s">
        <v>731</v>
      </c>
      <c r="H5" s="60"/>
      <c r="I5" s="60"/>
      <c r="J5" s="60"/>
      <c r="K5" s="60"/>
    </row>
    <row r="6" spans="2:18" x14ac:dyDescent="0.3">
      <c r="B6" s="60" t="s">
        <v>727</v>
      </c>
      <c r="C6" s="60"/>
      <c r="D6" s="60"/>
      <c r="E6" s="60"/>
      <c r="G6" s="60" t="s">
        <v>732</v>
      </c>
      <c r="H6" s="60"/>
      <c r="I6" s="60"/>
      <c r="J6" s="60"/>
      <c r="K6" s="60"/>
    </row>
    <row r="7" spans="2:18" x14ac:dyDescent="0.3">
      <c r="B7" s="60" t="s">
        <v>728</v>
      </c>
      <c r="C7" s="60"/>
      <c r="D7" s="60"/>
      <c r="E7" s="60"/>
      <c r="G7" s="60" t="s">
        <v>733</v>
      </c>
      <c r="H7" s="60"/>
      <c r="I7" s="60"/>
      <c r="J7" s="60"/>
      <c r="K7" s="60"/>
    </row>
    <row r="8" spans="2:18" x14ac:dyDescent="0.3">
      <c r="B8" s="60" t="s">
        <v>729</v>
      </c>
      <c r="C8" s="60"/>
      <c r="D8" s="60"/>
      <c r="E8" s="60"/>
      <c r="G8" s="60" t="s">
        <v>738</v>
      </c>
      <c r="H8" s="60"/>
      <c r="I8" s="60"/>
      <c r="J8" s="60"/>
      <c r="K8" s="60"/>
    </row>
    <row r="10" spans="2:18" x14ac:dyDescent="0.3">
      <c r="B10" s="58" t="s">
        <v>1298</v>
      </c>
      <c r="C10" s="58"/>
      <c r="D10" s="58"/>
      <c r="E10" s="58"/>
      <c r="F10" s="58"/>
      <c r="G10" s="58"/>
      <c r="H10" s="58"/>
    </row>
    <row r="11" spans="2:18" x14ac:dyDescent="0.3">
      <c r="B11" s="11" t="s">
        <v>0</v>
      </c>
      <c r="C11" s="11" t="s">
        <v>1</v>
      </c>
      <c r="D11" s="11" t="s">
        <v>717</v>
      </c>
      <c r="E11" s="11" t="s">
        <v>718</v>
      </c>
      <c r="F11" s="11" t="s">
        <v>719</v>
      </c>
      <c r="G11" s="11" t="s">
        <v>1036</v>
      </c>
      <c r="H11" s="11" t="s">
        <v>720</v>
      </c>
      <c r="I11" s="11" t="s">
        <v>723</v>
      </c>
      <c r="J11" s="11" t="s">
        <v>721</v>
      </c>
      <c r="K11" s="11" t="s">
        <v>724</v>
      </c>
      <c r="L11" s="11" t="s">
        <v>1034</v>
      </c>
      <c r="M11" s="11" t="s">
        <v>1032</v>
      </c>
      <c r="N11" s="11" t="s">
        <v>1033</v>
      </c>
      <c r="O11" s="11" t="s">
        <v>1035</v>
      </c>
      <c r="P11" s="11" t="s">
        <v>1037</v>
      </c>
      <c r="Q11" s="11" t="s">
        <v>722</v>
      </c>
      <c r="R11" s="11" t="s">
        <v>1027</v>
      </c>
    </row>
    <row r="12" spans="2:18" x14ac:dyDescent="0.3">
      <c r="B12" s="11" t="s">
        <v>751</v>
      </c>
      <c r="C12" s="11">
        <v>44.51</v>
      </c>
      <c r="D12" s="11">
        <v>44.51</v>
      </c>
      <c r="E12" s="11">
        <v>42.54</v>
      </c>
      <c r="F12" s="11">
        <v>1.97</v>
      </c>
      <c r="G12" s="10">
        <v>0.5</v>
      </c>
      <c r="H12" s="11">
        <v>200</v>
      </c>
      <c r="I12" s="11">
        <v>43.54</v>
      </c>
      <c r="J12" s="11"/>
      <c r="K12" s="11"/>
      <c r="L12" s="11">
        <v>200</v>
      </c>
      <c r="M12" s="11" t="s">
        <v>752</v>
      </c>
      <c r="N12" s="11">
        <v>43.52</v>
      </c>
      <c r="O12" s="11">
        <v>43.52</v>
      </c>
      <c r="P12" s="11">
        <v>43.54</v>
      </c>
      <c r="Q12" s="11"/>
      <c r="R12" s="11" t="s">
        <v>1167</v>
      </c>
    </row>
    <row r="13" spans="2:18" x14ac:dyDescent="0.3">
      <c r="B13" s="15" t="s">
        <v>1038</v>
      </c>
      <c r="C13" s="15">
        <v>48.41</v>
      </c>
      <c r="D13" s="15">
        <v>48.41</v>
      </c>
      <c r="E13" s="15">
        <v>46.21</v>
      </c>
      <c r="F13" s="15">
        <v>2.2000000000000002</v>
      </c>
      <c r="G13" s="15">
        <v>0.5</v>
      </c>
      <c r="H13" s="15">
        <v>200</v>
      </c>
      <c r="I13" s="15">
        <v>47.21</v>
      </c>
      <c r="J13" s="15">
        <v>200</v>
      </c>
      <c r="K13" s="15">
        <v>47.21</v>
      </c>
      <c r="L13" s="15">
        <v>200</v>
      </c>
      <c r="M13" s="15" t="s">
        <v>755</v>
      </c>
      <c r="N13" s="15">
        <v>46.85</v>
      </c>
      <c r="O13" s="15">
        <v>47.15</v>
      </c>
      <c r="P13" s="15">
        <v>47.21</v>
      </c>
      <c r="Q13" s="15">
        <v>135.4</v>
      </c>
      <c r="R13" s="11" t="s">
        <v>1221</v>
      </c>
    </row>
    <row r="14" spans="2:18" x14ac:dyDescent="0.3">
      <c r="B14" s="15" t="s">
        <v>1276</v>
      </c>
      <c r="C14" s="15">
        <v>48.55</v>
      </c>
      <c r="D14" s="15">
        <v>48.55</v>
      </c>
      <c r="E14" s="15">
        <v>46.26</v>
      </c>
      <c r="F14" s="15">
        <v>2.29</v>
      </c>
      <c r="G14" s="15">
        <v>0.5</v>
      </c>
      <c r="H14" s="15">
        <v>200</v>
      </c>
      <c r="I14" s="15">
        <v>47.26</v>
      </c>
      <c r="J14" s="15"/>
      <c r="K14" s="15"/>
      <c r="L14" s="15">
        <v>200</v>
      </c>
      <c r="M14" s="15" t="s">
        <v>1038</v>
      </c>
      <c r="N14" s="15">
        <v>47.21</v>
      </c>
      <c r="O14" s="15">
        <v>47.21</v>
      </c>
      <c r="P14" s="15">
        <v>47.26</v>
      </c>
      <c r="Q14" s="15"/>
      <c r="R14" s="11" t="s">
        <v>1221</v>
      </c>
    </row>
    <row r="15" spans="2:18" x14ac:dyDescent="0.3">
      <c r="B15" s="15" t="s">
        <v>1277</v>
      </c>
      <c r="C15" s="15">
        <v>48.09</v>
      </c>
      <c r="D15" s="15">
        <v>48.09</v>
      </c>
      <c r="E15" s="15">
        <v>45.66</v>
      </c>
      <c r="F15" s="15">
        <v>2.4300000000000002</v>
      </c>
      <c r="G15" s="15">
        <v>2</v>
      </c>
      <c r="H15" s="15">
        <v>200</v>
      </c>
      <c r="I15" s="15">
        <v>46.66</v>
      </c>
      <c r="J15" s="15"/>
      <c r="K15" s="15"/>
      <c r="L15" s="15">
        <v>200</v>
      </c>
      <c r="M15" s="15" t="s">
        <v>1278</v>
      </c>
      <c r="N15" s="15">
        <v>46.63</v>
      </c>
      <c r="O15" s="15">
        <v>46.63</v>
      </c>
      <c r="P15" s="15">
        <v>46.66</v>
      </c>
      <c r="Q15" s="15"/>
      <c r="R15" s="11" t="s">
        <v>1221</v>
      </c>
    </row>
    <row r="16" spans="2:18" x14ac:dyDescent="0.3">
      <c r="B16" s="15" t="s">
        <v>1279</v>
      </c>
      <c r="C16" s="15">
        <v>47.95</v>
      </c>
      <c r="D16" s="15">
        <v>47.95</v>
      </c>
      <c r="E16" s="15">
        <v>45.8</v>
      </c>
      <c r="F16" s="15">
        <v>2.15</v>
      </c>
      <c r="G16" s="15">
        <v>2</v>
      </c>
      <c r="H16" s="15">
        <v>200</v>
      </c>
      <c r="I16" s="15">
        <v>46.8</v>
      </c>
      <c r="J16" s="15"/>
      <c r="K16" s="15"/>
      <c r="L16" s="15">
        <v>200</v>
      </c>
      <c r="M16" s="15" t="s">
        <v>753</v>
      </c>
      <c r="N16" s="15">
        <v>46.67</v>
      </c>
      <c r="O16" s="15">
        <v>46.67</v>
      </c>
      <c r="P16" s="15">
        <v>46.8</v>
      </c>
      <c r="Q16" s="15"/>
      <c r="R16" s="11" t="s">
        <v>1221</v>
      </c>
    </row>
    <row r="17" spans="1:19" x14ac:dyDescent="0.3">
      <c r="B17" s="11" t="s">
        <v>1280</v>
      </c>
      <c r="C17" s="11">
        <v>48.22</v>
      </c>
      <c r="D17" s="11">
        <v>48.22</v>
      </c>
      <c r="E17" s="11">
        <v>45.82</v>
      </c>
      <c r="F17" s="11">
        <v>2.4</v>
      </c>
      <c r="G17" s="11">
        <v>2</v>
      </c>
      <c r="H17" s="11">
        <v>200</v>
      </c>
      <c r="I17" s="11">
        <v>46.82</v>
      </c>
      <c r="J17" s="11"/>
      <c r="K17" s="11"/>
      <c r="L17" s="11">
        <v>200</v>
      </c>
      <c r="M17" s="11" t="s">
        <v>753</v>
      </c>
      <c r="N17" s="11">
        <v>46.67</v>
      </c>
      <c r="O17" s="11">
        <v>46.67</v>
      </c>
      <c r="P17" s="11">
        <v>46.82</v>
      </c>
      <c r="Q17" s="11"/>
      <c r="R17" s="11" t="s">
        <v>1221</v>
      </c>
    </row>
    <row r="18" spans="1:19" x14ac:dyDescent="0.3">
      <c r="B18" s="11" t="s">
        <v>1039</v>
      </c>
      <c r="C18" s="11">
        <v>55.04</v>
      </c>
      <c r="D18" s="11">
        <v>55.04</v>
      </c>
      <c r="E18" s="11">
        <v>51.57</v>
      </c>
      <c r="F18" s="11">
        <v>3.47</v>
      </c>
      <c r="G18" s="10">
        <v>20</v>
      </c>
      <c r="H18" s="11">
        <v>200</v>
      </c>
      <c r="I18" s="11">
        <v>52.57</v>
      </c>
      <c r="J18" s="11"/>
      <c r="K18" s="11"/>
      <c r="L18" s="11">
        <v>200</v>
      </c>
      <c r="M18" s="11" t="s">
        <v>771</v>
      </c>
      <c r="N18" s="11">
        <v>50.97</v>
      </c>
      <c r="O18" s="11">
        <v>51.17</v>
      </c>
      <c r="P18" s="11">
        <v>52.57</v>
      </c>
      <c r="Q18" s="11"/>
      <c r="R18" s="11" t="s">
        <v>1221</v>
      </c>
    </row>
    <row r="19" spans="1:19" x14ac:dyDescent="0.3">
      <c r="B19" s="11" t="s">
        <v>1041</v>
      </c>
      <c r="C19" s="11">
        <v>60.84</v>
      </c>
      <c r="D19" s="11">
        <v>60.84</v>
      </c>
      <c r="E19" s="11">
        <v>57.76</v>
      </c>
      <c r="F19" s="11">
        <v>3.08</v>
      </c>
      <c r="G19" s="10">
        <v>20.97</v>
      </c>
      <c r="H19" s="11">
        <v>250</v>
      </c>
      <c r="I19" s="11">
        <v>58.76</v>
      </c>
      <c r="J19" s="11">
        <v>200</v>
      </c>
      <c r="K19" s="11">
        <v>58.76</v>
      </c>
      <c r="L19" s="11">
        <v>250</v>
      </c>
      <c r="M19" s="11" t="s">
        <v>787</v>
      </c>
      <c r="N19" s="11">
        <v>57.06</v>
      </c>
      <c r="O19" s="11">
        <v>57.21</v>
      </c>
      <c r="P19" s="11">
        <v>58.76</v>
      </c>
      <c r="Q19" s="11">
        <v>157.19999999999999</v>
      </c>
      <c r="R19" s="11" t="s">
        <v>1221</v>
      </c>
    </row>
    <row r="20" spans="1:19" x14ac:dyDescent="0.3">
      <c r="B20" s="11" t="s">
        <v>1040</v>
      </c>
      <c r="C20" s="11">
        <v>60.85</v>
      </c>
      <c r="D20" s="11">
        <v>60.85</v>
      </c>
      <c r="E20" s="11">
        <v>58.25</v>
      </c>
      <c r="F20" s="11">
        <v>2.6</v>
      </c>
      <c r="G20" s="10">
        <v>5</v>
      </c>
      <c r="H20" s="11">
        <v>200</v>
      </c>
      <c r="I20" s="11">
        <v>59.25</v>
      </c>
      <c r="J20" s="11"/>
      <c r="K20" s="11"/>
      <c r="L20" s="11">
        <v>200</v>
      </c>
      <c r="M20" s="11" t="s">
        <v>1041</v>
      </c>
      <c r="N20" s="11">
        <v>58.76</v>
      </c>
      <c r="O20" s="11">
        <v>58.76</v>
      </c>
      <c r="P20" s="11">
        <v>59.25</v>
      </c>
      <c r="Q20" s="11"/>
      <c r="R20" s="11" t="s">
        <v>1221</v>
      </c>
    </row>
    <row r="21" spans="1:19" x14ac:dyDescent="0.3">
      <c r="B21" s="11" t="s">
        <v>1042</v>
      </c>
      <c r="C21" s="11">
        <v>84.18</v>
      </c>
      <c r="D21" s="11">
        <v>84.18</v>
      </c>
      <c r="E21" s="11">
        <v>82</v>
      </c>
      <c r="F21" s="11">
        <v>2.1800000000000002</v>
      </c>
      <c r="G21" s="10">
        <v>0.5</v>
      </c>
      <c r="H21" s="11">
        <v>200</v>
      </c>
      <c r="I21" s="11">
        <v>83</v>
      </c>
      <c r="J21" s="11"/>
      <c r="K21" s="11"/>
      <c r="L21" s="11">
        <v>200</v>
      </c>
      <c r="M21" s="11" t="s">
        <v>833</v>
      </c>
      <c r="N21" s="11">
        <v>82.99</v>
      </c>
      <c r="O21" s="11">
        <v>82.99</v>
      </c>
      <c r="P21" s="11">
        <v>83</v>
      </c>
      <c r="Q21" s="11"/>
      <c r="R21" s="11" t="s">
        <v>1221</v>
      </c>
    </row>
    <row r="22" spans="1:19" x14ac:dyDescent="0.3">
      <c r="B22" s="11" t="s">
        <v>1043</v>
      </c>
      <c r="C22" s="11">
        <v>84.66</v>
      </c>
      <c r="D22" s="11">
        <v>84.66</v>
      </c>
      <c r="E22" s="11">
        <v>82.46</v>
      </c>
      <c r="F22" s="11">
        <v>2.2000000000000002</v>
      </c>
      <c r="G22" s="10">
        <v>2</v>
      </c>
      <c r="H22" s="11">
        <v>200</v>
      </c>
      <c r="I22" s="11">
        <v>83.46</v>
      </c>
      <c r="J22" s="11"/>
      <c r="K22" s="11"/>
      <c r="L22" s="11">
        <v>200</v>
      </c>
      <c r="M22" s="11" t="s">
        <v>837</v>
      </c>
      <c r="N22" s="11">
        <v>83.05</v>
      </c>
      <c r="O22" s="11">
        <v>83.39</v>
      </c>
      <c r="P22" s="11">
        <v>83.46</v>
      </c>
      <c r="Q22" s="11"/>
      <c r="R22" s="11" t="s">
        <v>1221</v>
      </c>
    </row>
    <row r="23" spans="1:19" x14ac:dyDescent="0.3">
      <c r="B23" s="11" t="s">
        <v>1044</v>
      </c>
      <c r="C23" s="11">
        <v>91.55</v>
      </c>
      <c r="D23" s="11">
        <v>91.55</v>
      </c>
      <c r="E23" s="11">
        <v>89.35</v>
      </c>
      <c r="F23" s="11">
        <v>2.2000000000000002</v>
      </c>
      <c r="G23" s="10">
        <v>2</v>
      </c>
      <c r="H23" s="11">
        <v>200</v>
      </c>
      <c r="I23" s="11">
        <v>90.35</v>
      </c>
      <c r="J23" s="11"/>
      <c r="K23" s="11"/>
      <c r="L23" s="11">
        <v>200</v>
      </c>
      <c r="M23" s="11" t="s">
        <v>842</v>
      </c>
      <c r="N23" s="11">
        <v>90.16</v>
      </c>
      <c r="O23" s="11">
        <v>90.16</v>
      </c>
      <c r="P23" s="11">
        <v>90.35</v>
      </c>
      <c r="Q23" s="11"/>
      <c r="R23" s="11" t="s">
        <v>1221</v>
      </c>
    </row>
    <row r="24" spans="1:19" x14ac:dyDescent="0.3">
      <c r="B24" s="11" t="s">
        <v>1045</v>
      </c>
      <c r="C24" s="11">
        <v>91.48</v>
      </c>
      <c r="D24" s="11">
        <v>91.48</v>
      </c>
      <c r="E24" s="11">
        <v>89.19</v>
      </c>
      <c r="F24" s="11">
        <v>2.29</v>
      </c>
      <c r="G24" s="10">
        <v>0.5</v>
      </c>
      <c r="H24" s="11">
        <v>200</v>
      </c>
      <c r="I24" s="11">
        <v>90.19</v>
      </c>
      <c r="J24" s="11"/>
      <c r="K24" s="11"/>
      <c r="L24" s="11">
        <v>200</v>
      </c>
      <c r="M24" s="11" t="s">
        <v>842</v>
      </c>
      <c r="N24" s="11">
        <v>90.16</v>
      </c>
      <c r="O24" s="11">
        <v>90.16</v>
      </c>
      <c r="P24" s="11">
        <v>90.19</v>
      </c>
      <c r="Q24" s="11"/>
      <c r="R24" s="11" t="s">
        <v>1221</v>
      </c>
    </row>
    <row r="25" spans="1:19" x14ac:dyDescent="0.3">
      <c r="B25" s="11" t="s">
        <v>1046</v>
      </c>
      <c r="C25" s="11">
        <v>91.51</v>
      </c>
      <c r="D25" s="11">
        <v>91.51</v>
      </c>
      <c r="E25" s="11">
        <v>89.31</v>
      </c>
      <c r="F25" s="11">
        <v>2.2000000000000002</v>
      </c>
      <c r="G25" s="10">
        <v>2</v>
      </c>
      <c r="H25" s="11">
        <v>200</v>
      </c>
      <c r="I25" s="11">
        <v>90.31</v>
      </c>
      <c r="J25" s="11"/>
      <c r="K25" s="11"/>
      <c r="L25" s="11">
        <v>200</v>
      </c>
      <c r="M25" s="11" t="s">
        <v>844</v>
      </c>
      <c r="N25" s="11">
        <v>90.03</v>
      </c>
      <c r="O25" s="11">
        <v>90.03</v>
      </c>
      <c r="P25" s="11">
        <v>90.31</v>
      </c>
      <c r="Q25" s="11"/>
      <c r="R25" s="11" t="s">
        <v>1221</v>
      </c>
    </row>
    <row r="26" spans="1:19" x14ac:dyDescent="0.3">
      <c r="B26" s="11" t="s">
        <v>1048</v>
      </c>
      <c r="C26" s="11">
        <v>91.71</v>
      </c>
      <c r="D26" s="11">
        <v>91.71</v>
      </c>
      <c r="E26" s="11">
        <v>89.17</v>
      </c>
      <c r="F26" s="11">
        <v>2.54</v>
      </c>
      <c r="G26" s="10">
        <v>4</v>
      </c>
      <c r="H26" s="11">
        <v>250</v>
      </c>
      <c r="I26" s="11">
        <v>90.17</v>
      </c>
      <c r="J26" s="11">
        <v>200</v>
      </c>
      <c r="K26" s="11">
        <v>90.17</v>
      </c>
      <c r="L26" s="11">
        <v>250</v>
      </c>
      <c r="M26" s="11" t="s">
        <v>844</v>
      </c>
      <c r="N26" s="11">
        <v>90.03</v>
      </c>
      <c r="O26" s="11">
        <v>90.03</v>
      </c>
      <c r="P26" s="11">
        <v>90.17</v>
      </c>
      <c r="Q26" s="11">
        <v>242.8</v>
      </c>
      <c r="R26" s="11" t="s">
        <v>1221</v>
      </c>
    </row>
    <row r="27" spans="1:19" x14ac:dyDescent="0.3">
      <c r="B27" s="11" t="s">
        <v>1047</v>
      </c>
      <c r="C27" s="11">
        <v>91.78</v>
      </c>
      <c r="D27" s="11">
        <v>91.78</v>
      </c>
      <c r="E27" s="11">
        <v>89.29</v>
      </c>
      <c r="F27" s="11">
        <v>2.4900000000000002</v>
      </c>
      <c r="G27" s="10">
        <v>2</v>
      </c>
      <c r="H27" s="11">
        <v>200</v>
      </c>
      <c r="I27" s="11">
        <v>90.29</v>
      </c>
      <c r="J27" s="11"/>
      <c r="K27" s="11"/>
      <c r="L27" s="11">
        <v>200</v>
      </c>
      <c r="M27" s="11" t="s">
        <v>1048</v>
      </c>
      <c r="N27" s="11">
        <v>90.17</v>
      </c>
      <c r="O27" s="11">
        <v>90.17</v>
      </c>
      <c r="P27" s="11">
        <v>90.29</v>
      </c>
      <c r="Q27" s="11"/>
      <c r="R27" s="11" t="s">
        <v>1221</v>
      </c>
    </row>
    <row r="28" spans="1:19" x14ac:dyDescent="0.3">
      <c r="B28" s="11" t="s">
        <v>1050</v>
      </c>
      <c r="C28" s="11">
        <v>87.53</v>
      </c>
      <c r="D28" s="11">
        <v>87.53</v>
      </c>
      <c r="E28" s="11">
        <v>84.34</v>
      </c>
      <c r="F28" s="11">
        <v>3.19</v>
      </c>
      <c r="G28" s="10">
        <v>15</v>
      </c>
      <c r="H28" s="11">
        <v>250</v>
      </c>
      <c r="I28" s="11">
        <v>85.34</v>
      </c>
      <c r="J28" s="11">
        <v>200</v>
      </c>
      <c r="K28" s="11">
        <v>85.34</v>
      </c>
      <c r="L28" s="11">
        <v>250</v>
      </c>
      <c r="M28" s="11" t="s">
        <v>848</v>
      </c>
      <c r="N28" s="11">
        <v>81.69</v>
      </c>
      <c r="O28" s="11">
        <v>83.62</v>
      </c>
      <c r="P28" s="11">
        <v>85.34</v>
      </c>
      <c r="Q28" s="11">
        <v>168.8</v>
      </c>
      <c r="R28" s="11" t="s">
        <v>1221</v>
      </c>
    </row>
    <row r="29" spans="1:19" x14ac:dyDescent="0.3">
      <c r="B29" s="11" t="s">
        <v>1049</v>
      </c>
      <c r="C29" s="11">
        <v>87.53</v>
      </c>
      <c r="D29" s="11">
        <v>87.53</v>
      </c>
      <c r="E29" s="11">
        <v>84.53</v>
      </c>
      <c r="F29" s="11">
        <v>3</v>
      </c>
      <c r="G29" s="10">
        <v>2</v>
      </c>
      <c r="H29" s="11">
        <v>200</v>
      </c>
      <c r="I29" s="11">
        <v>85.53</v>
      </c>
      <c r="J29" s="11"/>
      <c r="K29" s="11"/>
      <c r="L29" s="11">
        <v>200</v>
      </c>
      <c r="M29" s="11" t="s">
        <v>1050</v>
      </c>
      <c r="N29" s="11">
        <v>85.34</v>
      </c>
      <c r="O29" s="11">
        <v>85.34</v>
      </c>
      <c r="P29" s="11">
        <v>85.53</v>
      </c>
      <c r="Q29" s="11"/>
      <c r="R29" s="11" t="s">
        <v>1221</v>
      </c>
    </row>
    <row r="30" spans="1:19" x14ac:dyDescent="0.3">
      <c r="B30" s="11" t="s">
        <v>1051</v>
      </c>
      <c r="C30" s="11">
        <v>76.680000000000007</v>
      </c>
      <c r="D30" s="11">
        <v>76.680000000000007</v>
      </c>
      <c r="E30" s="11">
        <v>74.150000000000006</v>
      </c>
      <c r="F30" s="11">
        <v>2.5299999999999998</v>
      </c>
      <c r="G30" s="10">
        <v>5</v>
      </c>
      <c r="H30" s="11">
        <v>200</v>
      </c>
      <c r="I30" s="11">
        <v>75.150000000000006</v>
      </c>
      <c r="J30" s="11">
        <v>200</v>
      </c>
      <c r="K30" s="11">
        <v>75.150000000000006</v>
      </c>
      <c r="L30" s="11">
        <v>200</v>
      </c>
      <c r="M30" s="11" t="s">
        <v>850</v>
      </c>
      <c r="N30" s="11">
        <v>75.06</v>
      </c>
      <c r="O30" s="11">
        <v>75.06</v>
      </c>
      <c r="P30" s="11">
        <v>75.150000000000006</v>
      </c>
      <c r="Q30" s="11">
        <v>124.3</v>
      </c>
      <c r="R30" s="11" t="s">
        <v>1221</v>
      </c>
    </row>
    <row r="31" spans="1:19" x14ac:dyDescent="0.3">
      <c r="B31" s="11" t="s">
        <v>1052</v>
      </c>
      <c r="C31" s="11">
        <v>76.62</v>
      </c>
      <c r="D31" s="11">
        <v>76.62</v>
      </c>
      <c r="E31" s="11">
        <v>74.28</v>
      </c>
      <c r="F31" s="11">
        <v>2.34</v>
      </c>
      <c r="G31" s="10">
        <v>2</v>
      </c>
      <c r="H31" s="11">
        <v>200</v>
      </c>
      <c r="I31" s="11">
        <v>75.28</v>
      </c>
      <c r="J31" s="11"/>
      <c r="K31" s="11"/>
      <c r="L31" s="11">
        <v>200</v>
      </c>
      <c r="M31" s="11" t="s">
        <v>1051</v>
      </c>
      <c r="N31" s="11">
        <v>75.150000000000006</v>
      </c>
      <c r="O31" s="11">
        <v>75.150000000000006</v>
      </c>
      <c r="P31" s="11">
        <v>75.28</v>
      </c>
      <c r="Q31" s="11"/>
      <c r="R31" s="11" t="s">
        <v>1221</v>
      </c>
    </row>
    <row r="32" spans="1:19" s="3" customFormat="1" x14ac:dyDescent="0.3">
      <c r="A32" s="1"/>
      <c r="B32" s="11" t="s">
        <v>1053</v>
      </c>
      <c r="C32" s="11">
        <v>77.900000000000006</v>
      </c>
      <c r="D32" s="11">
        <v>77.900000000000006</v>
      </c>
      <c r="E32" s="11">
        <v>76.12</v>
      </c>
      <c r="F32" s="11">
        <v>1.78</v>
      </c>
      <c r="G32" s="10">
        <v>0.5</v>
      </c>
      <c r="H32" s="11">
        <v>200</v>
      </c>
      <c r="I32" s="11">
        <v>77.12</v>
      </c>
      <c r="J32" s="11">
        <v>200</v>
      </c>
      <c r="K32" s="11">
        <v>77.12</v>
      </c>
      <c r="L32" s="11">
        <v>200</v>
      </c>
      <c r="M32" s="11" t="s">
        <v>852</v>
      </c>
      <c r="N32" s="11">
        <v>77.11</v>
      </c>
      <c r="O32" s="11">
        <v>77.11</v>
      </c>
      <c r="P32" s="11">
        <v>77.12</v>
      </c>
      <c r="Q32" s="11">
        <v>106.2</v>
      </c>
      <c r="R32" s="11" t="s">
        <v>1167</v>
      </c>
      <c r="S32" s="1"/>
    </row>
    <row r="33" spans="1:19" s="3" customFormat="1" x14ac:dyDescent="0.3">
      <c r="A33" s="1"/>
      <c r="B33" s="11" t="s">
        <v>1054</v>
      </c>
      <c r="C33" s="11">
        <v>77.91</v>
      </c>
      <c r="D33" s="11">
        <v>77.91</v>
      </c>
      <c r="E33" s="11">
        <v>76.150000000000006</v>
      </c>
      <c r="F33" s="11">
        <v>1.76</v>
      </c>
      <c r="G33" s="10">
        <v>0.5</v>
      </c>
      <c r="H33" s="11">
        <v>200</v>
      </c>
      <c r="I33" s="11">
        <v>77.150000000000006</v>
      </c>
      <c r="J33" s="11"/>
      <c r="K33" s="11"/>
      <c r="L33" s="11">
        <v>200</v>
      </c>
      <c r="M33" s="11" t="s">
        <v>1053</v>
      </c>
      <c r="N33" s="11">
        <v>77.12</v>
      </c>
      <c r="O33" s="11">
        <v>77.12</v>
      </c>
      <c r="P33" s="11">
        <v>77.150000000000006</v>
      </c>
      <c r="Q33" s="11"/>
      <c r="R33" s="11" t="s">
        <v>1167</v>
      </c>
      <c r="S33" s="1"/>
    </row>
    <row r="34" spans="1:19" x14ac:dyDescent="0.3">
      <c r="B34" s="11" t="s">
        <v>1055</v>
      </c>
      <c r="C34" s="11">
        <v>54.42</v>
      </c>
      <c r="D34" s="11">
        <v>54.42</v>
      </c>
      <c r="E34" s="11">
        <v>52.02</v>
      </c>
      <c r="F34" s="11">
        <v>2.4</v>
      </c>
      <c r="G34" s="10">
        <v>9</v>
      </c>
      <c r="H34" s="11">
        <v>200</v>
      </c>
      <c r="I34" s="11">
        <v>53.02</v>
      </c>
      <c r="J34" s="11"/>
      <c r="K34" s="11"/>
      <c r="L34" s="11">
        <v>200</v>
      </c>
      <c r="M34" s="11" t="s">
        <v>866</v>
      </c>
      <c r="N34" s="11">
        <v>48.95</v>
      </c>
      <c r="O34" s="11">
        <v>52.61</v>
      </c>
      <c r="P34" s="11">
        <v>53.02</v>
      </c>
      <c r="Q34" s="11"/>
      <c r="R34" s="11" t="s">
        <v>1221</v>
      </c>
    </row>
    <row r="35" spans="1:19" x14ac:dyDescent="0.3">
      <c r="B35" s="11" t="s">
        <v>1056</v>
      </c>
      <c r="C35" s="11">
        <v>83.36</v>
      </c>
      <c r="D35" s="11">
        <v>83.36</v>
      </c>
      <c r="E35" s="11">
        <v>80.55</v>
      </c>
      <c r="F35" s="11">
        <v>2.81</v>
      </c>
      <c r="G35" s="10">
        <v>5</v>
      </c>
      <c r="H35" s="11">
        <v>200</v>
      </c>
      <c r="I35" s="11">
        <v>81.55</v>
      </c>
      <c r="J35" s="11"/>
      <c r="K35" s="11"/>
      <c r="L35" s="11">
        <v>200</v>
      </c>
      <c r="M35" s="11" t="s">
        <v>892</v>
      </c>
      <c r="N35" s="11">
        <v>80.66</v>
      </c>
      <c r="O35" s="11">
        <v>81.3</v>
      </c>
      <c r="P35" s="11">
        <v>81.55</v>
      </c>
      <c r="Q35" s="11"/>
      <c r="R35" s="11" t="s">
        <v>1221</v>
      </c>
    </row>
    <row r="36" spans="1:19" x14ac:dyDescent="0.3">
      <c r="B36" s="11" t="s">
        <v>1057</v>
      </c>
      <c r="C36" s="11">
        <v>83.36</v>
      </c>
      <c r="D36" s="11">
        <v>83.36</v>
      </c>
      <c r="E36" s="11">
        <v>80.569999999999993</v>
      </c>
      <c r="F36" s="11">
        <v>2.79</v>
      </c>
      <c r="G36" s="10">
        <v>5</v>
      </c>
      <c r="H36" s="11">
        <v>200</v>
      </c>
      <c r="I36" s="11">
        <v>81.569999999999993</v>
      </c>
      <c r="J36" s="11"/>
      <c r="K36" s="11"/>
      <c r="L36" s="11">
        <v>200</v>
      </c>
      <c r="M36" s="11" t="s">
        <v>890</v>
      </c>
      <c r="N36" s="11">
        <v>80.62</v>
      </c>
      <c r="O36" s="11">
        <v>81.3</v>
      </c>
      <c r="P36" s="11">
        <v>81.569999999999993</v>
      </c>
      <c r="Q36" s="11"/>
      <c r="R36" s="11" t="s">
        <v>1221</v>
      </c>
    </row>
    <row r="37" spans="1:19" x14ac:dyDescent="0.3">
      <c r="B37" s="11" t="s">
        <v>1058</v>
      </c>
      <c r="C37" s="11">
        <v>83.8</v>
      </c>
      <c r="D37" s="11">
        <v>83.8</v>
      </c>
      <c r="E37" s="11">
        <v>80.8</v>
      </c>
      <c r="F37" s="11">
        <v>3</v>
      </c>
      <c r="G37" s="10">
        <v>9</v>
      </c>
      <c r="H37" s="11">
        <v>200</v>
      </c>
      <c r="I37" s="11">
        <v>81.8</v>
      </c>
      <c r="J37" s="11"/>
      <c r="K37" s="11"/>
      <c r="L37" s="11">
        <v>200</v>
      </c>
      <c r="M37" s="11" t="s">
        <v>899</v>
      </c>
      <c r="N37" s="11">
        <v>80.64</v>
      </c>
      <c r="O37" s="11">
        <v>81.3</v>
      </c>
      <c r="P37" s="11">
        <v>81.8</v>
      </c>
      <c r="Q37" s="11"/>
      <c r="R37" s="11" t="s">
        <v>1221</v>
      </c>
    </row>
    <row r="38" spans="1:19" x14ac:dyDescent="0.3">
      <c r="B38" s="11" t="s">
        <v>1059</v>
      </c>
      <c r="C38" s="11">
        <v>83.8</v>
      </c>
      <c r="D38" s="11">
        <v>83.8</v>
      </c>
      <c r="E38" s="11">
        <v>80.760000000000005</v>
      </c>
      <c r="F38" s="11">
        <v>3.04</v>
      </c>
      <c r="G38" s="10">
        <v>9</v>
      </c>
      <c r="H38" s="11">
        <v>200</v>
      </c>
      <c r="I38" s="11">
        <v>81.760000000000005</v>
      </c>
      <c r="J38" s="11"/>
      <c r="K38" s="11"/>
      <c r="L38" s="11">
        <v>200</v>
      </c>
      <c r="M38" s="11" t="s">
        <v>897</v>
      </c>
      <c r="N38" s="11">
        <v>80.59</v>
      </c>
      <c r="O38" s="11">
        <v>81.25</v>
      </c>
      <c r="P38" s="11">
        <v>81.760000000000005</v>
      </c>
      <c r="Q38" s="11"/>
      <c r="R38" s="11" t="s">
        <v>1221</v>
      </c>
    </row>
    <row r="39" spans="1:19" x14ac:dyDescent="0.3">
      <c r="B39" s="11" t="s">
        <v>1060</v>
      </c>
      <c r="C39" s="11">
        <v>86.22</v>
      </c>
      <c r="D39" s="11">
        <v>86.22</v>
      </c>
      <c r="E39" s="11">
        <v>83.82</v>
      </c>
      <c r="F39" s="11">
        <v>2.4</v>
      </c>
      <c r="G39" s="10">
        <v>3.6</v>
      </c>
      <c r="H39" s="11">
        <v>200</v>
      </c>
      <c r="I39" s="11">
        <v>84.82</v>
      </c>
      <c r="J39" s="11"/>
      <c r="K39" s="11"/>
      <c r="L39" s="11">
        <v>200</v>
      </c>
      <c r="M39" s="11" t="s">
        <v>901</v>
      </c>
      <c r="N39" s="11">
        <v>84.6</v>
      </c>
      <c r="O39" s="11">
        <v>84.6</v>
      </c>
      <c r="P39" s="11">
        <v>84.82</v>
      </c>
      <c r="Q39" s="11"/>
      <c r="R39" s="11" t="s">
        <v>1221</v>
      </c>
    </row>
    <row r="40" spans="1:19" x14ac:dyDescent="0.3">
      <c r="B40" s="15" t="s">
        <v>1061</v>
      </c>
      <c r="C40" s="15">
        <v>86.33</v>
      </c>
      <c r="D40" s="15">
        <v>86.33</v>
      </c>
      <c r="E40" s="15">
        <v>83.93</v>
      </c>
      <c r="F40" s="15">
        <v>2.4</v>
      </c>
      <c r="G40" s="15">
        <v>2</v>
      </c>
      <c r="H40" s="15">
        <v>200</v>
      </c>
      <c r="I40" s="15">
        <v>84.93</v>
      </c>
      <c r="J40" s="15"/>
      <c r="K40" s="15"/>
      <c r="L40" s="15">
        <v>200</v>
      </c>
      <c r="M40" s="15" t="s">
        <v>903</v>
      </c>
      <c r="N40" s="15">
        <v>84.82</v>
      </c>
      <c r="O40" s="15">
        <v>84.82</v>
      </c>
      <c r="P40" s="15">
        <v>84.93</v>
      </c>
      <c r="Q40" s="15"/>
      <c r="R40" s="11" t="s">
        <v>1221</v>
      </c>
    </row>
    <row r="41" spans="1:19" x14ac:dyDescent="0.3">
      <c r="B41" s="15" t="s">
        <v>1062</v>
      </c>
      <c r="C41" s="15">
        <v>70.87</v>
      </c>
      <c r="D41" s="15">
        <v>70.87</v>
      </c>
      <c r="E41" s="15">
        <v>68.77</v>
      </c>
      <c r="F41" s="15">
        <v>2.1</v>
      </c>
      <c r="G41" s="15">
        <v>0.5</v>
      </c>
      <c r="H41" s="15">
        <v>200</v>
      </c>
      <c r="I41" s="15">
        <v>69.77</v>
      </c>
      <c r="J41" s="15"/>
      <c r="K41" s="15"/>
      <c r="L41" s="15">
        <v>200</v>
      </c>
      <c r="M41" s="15" t="s">
        <v>910</v>
      </c>
      <c r="N41" s="15">
        <v>69.010000000000005</v>
      </c>
      <c r="O41" s="15">
        <v>69.739999999999995</v>
      </c>
      <c r="P41" s="15">
        <v>69.77</v>
      </c>
      <c r="Q41" s="15"/>
      <c r="R41" s="11" t="s">
        <v>1221</v>
      </c>
    </row>
    <row r="42" spans="1:19" x14ac:dyDescent="0.3">
      <c r="B42" s="11" t="s">
        <v>1063</v>
      </c>
      <c r="C42" s="11">
        <v>70.87</v>
      </c>
      <c r="D42" s="11">
        <v>70.87</v>
      </c>
      <c r="E42" s="11">
        <v>68.77</v>
      </c>
      <c r="F42" s="11">
        <v>2.1</v>
      </c>
      <c r="G42" s="10">
        <v>0.5</v>
      </c>
      <c r="H42" s="11">
        <v>200</v>
      </c>
      <c r="I42" s="11">
        <v>69.77</v>
      </c>
      <c r="J42" s="11"/>
      <c r="K42" s="11"/>
      <c r="L42" s="11">
        <v>200</v>
      </c>
      <c r="M42" s="11" t="s">
        <v>911</v>
      </c>
      <c r="N42" s="11">
        <v>69.099999999999994</v>
      </c>
      <c r="O42" s="11">
        <v>69.739999999999995</v>
      </c>
      <c r="P42" s="11">
        <v>69.77</v>
      </c>
      <c r="Q42" s="8"/>
      <c r="R42" s="11" t="s">
        <v>1221</v>
      </c>
    </row>
    <row r="43" spans="1:19" x14ac:dyDescent="0.3">
      <c r="B43" s="11" t="s">
        <v>1064</v>
      </c>
      <c r="C43" s="11">
        <v>47.17</v>
      </c>
      <c r="D43" s="11">
        <v>47.17</v>
      </c>
      <c r="E43" s="11">
        <v>44.04</v>
      </c>
      <c r="F43" s="11">
        <v>3.13</v>
      </c>
      <c r="G43" s="10">
        <v>0.5</v>
      </c>
      <c r="H43" s="11">
        <v>200</v>
      </c>
      <c r="I43" s="11">
        <v>45.04</v>
      </c>
      <c r="J43" s="11"/>
      <c r="K43" s="11"/>
      <c r="L43" s="11">
        <v>200</v>
      </c>
      <c r="M43" s="11" t="s">
        <v>926</v>
      </c>
      <c r="N43" s="11">
        <v>44.77</v>
      </c>
      <c r="O43" s="11">
        <v>45.03</v>
      </c>
      <c r="P43" s="11">
        <v>45.04</v>
      </c>
      <c r="Q43" s="11"/>
      <c r="R43" s="11" t="s">
        <v>1221</v>
      </c>
    </row>
    <row r="44" spans="1:19" x14ac:dyDescent="0.3">
      <c r="B44" s="11" t="s">
        <v>1065</v>
      </c>
      <c r="C44" s="11">
        <v>47.17</v>
      </c>
      <c r="D44" s="11">
        <v>47.17</v>
      </c>
      <c r="E44" s="11">
        <v>44.04</v>
      </c>
      <c r="F44" s="11">
        <v>3.13</v>
      </c>
      <c r="G44" s="10">
        <v>0.5</v>
      </c>
      <c r="H44" s="11">
        <v>200</v>
      </c>
      <c r="I44" s="11">
        <v>45.04</v>
      </c>
      <c r="J44" s="11"/>
      <c r="K44" s="11"/>
      <c r="L44" s="11">
        <v>200</v>
      </c>
      <c r="M44" s="11" t="s">
        <v>928</v>
      </c>
      <c r="N44" s="11">
        <v>45</v>
      </c>
      <c r="O44" s="11">
        <v>45.03</v>
      </c>
      <c r="P44" s="11">
        <v>45.04</v>
      </c>
      <c r="Q44" s="11"/>
      <c r="R44" s="11" t="s">
        <v>1221</v>
      </c>
    </row>
    <row r="45" spans="1:19" x14ac:dyDescent="0.3">
      <c r="B45" s="11" t="s">
        <v>940</v>
      </c>
      <c r="C45" s="11">
        <v>57.39</v>
      </c>
      <c r="D45" s="11">
        <v>57.39</v>
      </c>
      <c r="E45" s="11">
        <v>55.18</v>
      </c>
      <c r="F45" s="11">
        <v>2.21</v>
      </c>
      <c r="G45" s="10">
        <v>2</v>
      </c>
      <c r="H45" s="11">
        <v>200</v>
      </c>
      <c r="I45" s="11">
        <v>56.18</v>
      </c>
      <c r="J45" s="11"/>
      <c r="K45" s="11"/>
      <c r="L45" s="11">
        <v>200</v>
      </c>
      <c r="M45" s="11" t="s">
        <v>943</v>
      </c>
      <c r="N45" s="11">
        <v>52.15</v>
      </c>
      <c r="O45" s="11">
        <v>55.96</v>
      </c>
      <c r="P45" s="11">
        <v>56.18</v>
      </c>
      <c r="Q45" s="11"/>
      <c r="R45" s="11" t="s">
        <v>1221</v>
      </c>
    </row>
    <row r="46" spans="1:19" x14ac:dyDescent="0.3">
      <c r="B46" s="11" t="s">
        <v>945</v>
      </c>
      <c r="C46" s="11">
        <v>57.38</v>
      </c>
      <c r="D46" s="11">
        <v>57.38</v>
      </c>
      <c r="E46" s="11">
        <v>55.18</v>
      </c>
      <c r="F46" s="11">
        <v>2.2000000000000002</v>
      </c>
      <c r="G46" s="10">
        <v>2</v>
      </c>
      <c r="H46" s="11">
        <v>200</v>
      </c>
      <c r="I46" s="11">
        <v>56.18</v>
      </c>
      <c r="J46" s="11"/>
      <c r="K46" s="11"/>
      <c r="L46" s="11">
        <v>200</v>
      </c>
      <c r="M46" s="11" t="s">
        <v>946</v>
      </c>
      <c r="N46" s="11">
        <v>55.96</v>
      </c>
      <c r="O46" s="11">
        <v>55.96</v>
      </c>
      <c r="P46" s="11">
        <v>56.18</v>
      </c>
      <c r="Q46" s="11"/>
      <c r="R46" s="11" t="s">
        <v>1221</v>
      </c>
    </row>
    <row r="47" spans="1:19" x14ac:dyDescent="0.3">
      <c r="B47" s="11" t="s">
        <v>1066</v>
      </c>
      <c r="C47" s="11">
        <v>57.9</v>
      </c>
      <c r="D47" s="11">
        <v>57.9</v>
      </c>
      <c r="E47" s="11">
        <v>55.51</v>
      </c>
      <c r="F47" s="11">
        <v>2.39</v>
      </c>
      <c r="G47" s="10">
        <v>2</v>
      </c>
      <c r="H47" s="11">
        <v>200</v>
      </c>
      <c r="I47" s="11">
        <v>56.51</v>
      </c>
      <c r="J47" s="11"/>
      <c r="K47" s="11"/>
      <c r="L47" s="11">
        <v>200</v>
      </c>
      <c r="M47" s="11" t="s">
        <v>946</v>
      </c>
      <c r="N47" s="11">
        <v>55.96</v>
      </c>
      <c r="O47" s="11">
        <v>56.46</v>
      </c>
      <c r="P47" s="11">
        <v>56.51</v>
      </c>
      <c r="Q47" s="11"/>
      <c r="R47" s="11" t="s">
        <v>1221</v>
      </c>
    </row>
    <row r="48" spans="1:19" x14ac:dyDescent="0.3">
      <c r="B48" s="11" t="s">
        <v>1067</v>
      </c>
      <c r="C48" s="11">
        <v>57.9</v>
      </c>
      <c r="D48" s="11">
        <v>57.9</v>
      </c>
      <c r="E48" s="11">
        <v>55.7</v>
      </c>
      <c r="F48" s="11">
        <v>2.2000000000000002</v>
      </c>
      <c r="G48" s="10">
        <v>2</v>
      </c>
      <c r="H48" s="11">
        <v>200</v>
      </c>
      <c r="I48" s="11">
        <v>56.7</v>
      </c>
      <c r="J48" s="11"/>
      <c r="K48" s="11"/>
      <c r="L48" s="11">
        <v>200</v>
      </c>
      <c r="M48" s="11" t="s">
        <v>943</v>
      </c>
      <c r="N48" s="11">
        <v>52.15</v>
      </c>
      <c r="O48" s="11">
        <v>56.65</v>
      </c>
      <c r="P48" s="11">
        <v>56.7</v>
      </c>
      <c r="Q48" s="11"/>
      <c r="R48" s="11" t="s">
        <v>1221</v>
      </c>
    </row>
    <row r="49" spans="2:18" x14ac:dyDescent="0.3">
      <c r="B49" s="11" t="s">
        <v>1281</v>
      </c>
      <c r="C49" s="11">
        <v>83.93</v>
      </c>
      <c r="D49" s="11">
        <v>83.93</v>
      </c>
      <c r="E49" s="11">
        <v>81.94</v>
      </c>
      <c r="F49" s="11">
        <v>1.99</v>
      </c>
      <c r="G49" s="11">
        <v>0.5</v>
      </c>
      <c r="H49" s="11">
        <v>400</v>
      </c>
      <c r="I49" s="11">
        <v>82.94</v>
      </c>
      <c r="J49" s="11"/>
      <c r="K49" s="11"/>
      <c r="L49" s="11">
        <v>400</v>
      </c>
      <c r="M49" s="11" t="s">
        <v>68</v>
      </c>
      <c r="N49" s="11">
        <v>82.86</v>
      </c>
      <c r="O49" s="11">
        <v>82.86</v>
      </c>
      <c r="P49" s="11">
        <v>82.94</v>
      </c>
      <c r="Q49" s="11"/>
      <c r="R49" s="11" t="s">
        <v>1221</v>
      </c>
    </row>
    <row r="50" spans="2:18" x14ac:dyDescent="0.3">
      <c r="B50" s="11" t="s">
        <v>1068</v>
      </c>
      <c r="C50" s="11">
        <v>59.33</v>
      </c>
      <c r="D50" s="11">
        <v>59.33</v>
      </c>
      <c r="E50" s="11">
        <v>56.73</v>
      </c>
      <c r="F50" s="11">
        <v>2.6</v>
      </c>
      <c r="G50" s="10">
        <v>14.47</v>
      </c>
      <c r="H50" s="11">
        <v>200</v>
      </c>
      <c r="I50" s="11">
        <v>57.73</v>
      </c>
      <c r="J50" s="11"/>
      <c r="K50" s="11"/>
      <c r="L50" s="11">
        <v>200</v>
      </c>
      <c r="M50" s="11" t="s">
        <v>972</v>
      </c>
      <c r="N50" s="11">
        <v>56.48</v>
      </c>
      <c r="O50" s="11">
        <v>56.68</v>
      </c>
      <c r="P50" s="11">
        <v>57.73</v>
      </c>
      <c r="Q50" s="11"/>
      <c r="R50" s="11" t="s">
        <v>1221</v>
      </c>
    </row>
    <row r="51" spans="2:18" x14ac:dyDescent="0.3">
      <c r="B51" s="11" t="s">
        <v>1070</v>
      </c>
      <c r="C51" s="11">
        <v>66.95</v>
      </c>
      <c r="D51" s="11">
        <v>66.95</v>
      </c>
      <c r="E51" s="11">
        <v>64.72</v>
      </c>
      <c r="F51" s="11">
        <v>2.23</v>
      </c>
      <c r="G51" s="10">
        <v>9</v>
      </c>
      <c r="H51" s="11">
        <v>200</v>
      </c>
      <c r="I51" s="11">
        <v>65.72</v>
      </c>
      <c r="J51" s="11">
        <v>200</v>
      </c>
      <c r="K51" s="11">
        <v>65.72</v>
      </c>
      <c r="L51" s="11">
        <v>200</v>
      </c>
      <c r="M51" s="11" t="s">
        <v>82</v>
      </c>
      <c r="N51" s="11">
        <v>61.21</v>
      </c>
      <c r="O51" s="11">
        <v>65.11</v>
      </c>
      <c r="P51" s="11">
        <v>65.72</v>
      </c>
      <c r="Q51" s="11">
        <v>96.7</v>
      </c>
      <c r="R51" s="11" t="s">
        <v>1221</v>
      </c>
    </row>
    <row r="52" spans="2:18" x14ac:dyDescent="0.3">
      <c r="B52" s="11" t="s">
        <v>1069</v>
      </c>
      <c r="C52" s="11">
        <v>66.95</v>
      </c>
      <c r="D52" s="11">
        <v>66.95</v>
      </c>
      <c r="E52" s="11">
        <v>64.75</v>
      </c>
      <c r="F52" s="11">
        <v>2.2000000000000002</v>
      </c>
      <c r="G52" s="10">
        <v>0.5</v>
      </c>
      <c r="H52" s="11">
        <v>200</v>
      </c>
      <c r="I52" s="11">
        <v>65.75</v>
      </c>
      <c r="J52" s="11"/>
      <c r="K52" s="11"/>
      <c r="L52" s="11">
        <v>200</v>
      </c>
      <c r="M52" s="11" t="s">
        <v>1070</v>
      </c>
      <c r="N52" s="11">
        <v>65.72</v>
      </c>
      <c r="O52" s="11">
        <v>65.72</v>
      </c>
      <c r="P52" s="11">
        <v>65.75</v>
      </c>
      <c r="Q52" s="11"/>
      <c r="R52" s="11" t="s">
        <v>1221</v>
      </c>
    </row>
    <row r="53" spans="2:18" x14ac:dyDescent="0.3">
      <c r="B53" s="11" t="s">
        <v>1071</v>
      </c>
      <c r="C53" s="11">
        <v>67.069999999999993</v>
      </c>
      <c r="D53" s="11">
        <v>67.069999999999993</v>
      </c>
      <c r="E53" s="11">
        <v>63.68</v>
      </c>
      <c r="F53" s="11">
        <v>3.39</v>
      </c>
      <c r="G53" s="10">
        <v>15</v>
      </c>
      <c r="H53" s="11">
        <v>250</v>
      </c>
      <c r="I53" s="11">
        <v>64.680000000000007</v>
      </c>
      <c r="J53" s="11">
        <v>200</v>
      </c>
      <c r="K53" s="11">
        <v>64.680000000000007</v>
      </c>
      <c r="L53" s="11">
        <v>250</v>
      </c>
      <c r="M53" s="11" t="s">
        <v>993</v>
      </c>
      <c r="N53" s="11">
        <v>60.91</v>
      </c>
      <c r="O53" s="11">
        <v>63.71</v>
      </c>
      <c r="P53" s="11">
        <v>64.680000000000007</v>
      </c>
      <c r="Q53" s="11">
        <v>212.2</v>
      </c>
      <c r="R53" s="11" t="s">
        <v>1221</v>
      </c>
    </row>
    <row r="54" spans="2:18" x14ac:dyDescent="0.3">
      <c r="B54" s="11" t="s">
        <v>992</v>
      </c>
      <c r="C54" s="11">
        <v>67.11</v>
      </c>
      <c r="D54" s="11">
        <v>67.11</v>
      </c>
      <c r="E54" s="11">
        <v>63.81</v>
      </c>
      <c r="F54" s="11">
        <v>3.3</v>
      </c>
      <c r="G54" s="10">
        <v>2</v>
      </c>
      <c r="H54" s="11">
        <v>200</v>
      </c>
      <c r="I54" s="11">
        <v>64.81</v>
      </c>
      <c r="J54" s="11"/>
      <c r="K54" s="11"/>
      <c r="L54" s="11">
        <v>200</v>
      </c>
      <c r="M54" s="11" t="s">
        <v>1071</v>
      </c>
      <c r="N54" s="11">
        <v>64.680000000000007</v>
      </c>
      <c r="O54" s="11">
        <v>64.680000000000007</v>
      </c>
      <c r="P54" s="11">
        <v>64.81</v>
      </c>
      <c r="Q54" s="11"/>
      <c r="R54" s="11" t="s">
        <v>1221</v>
      </c>
    </row>
    <row r="55" spans="2:18" x14ac:dyDescent="0.3">
      <c r="B55" s="11" t="s">
        <v>691</v>
      </c>
      <c r="C55" s="11">
        <v>53.79</v>
      </c>
      <c r="D55" s="11">
        <v>53.79</v>
      </c>
      <c r="E55" s="11">
        <v>51.4</v>
      </c>
      <c r="F55" s="11">
        <v>2.39</v>
      </c>
      <c r="G55" s="10">
        <v>2</v>
      </c>
      <c r="H55" s="11">
        <v>250</v>
      </c>
      <c r="I55" s="11">
        <v>52.4</v>
      </c>
      <c r="J55" s="11">
        <v>200</v>
      </c>
      <c r="K55" s="11">
        <v>52.4</v>
      </c>
      <c r="L55" s="11">
        <v>250</v>
      </c>
      <c r="M55" s="11" t="s">
        <v>997</v>
      </c>
      <c r="N55" s="11">
        <v>50.4</v>
      </c>
      <c r="O55" s="11">
        <v>52.36</v>
      </c>
      <c r="P55" s="11">
        <v>52.4</v>
      </c>
      <c r="Q55" s="11">
        <v>250</v>
      </c>
      <c r="R55" s="11" t="s">
        <v>1221</v>
      </c>
    </row>
    <row r="56" spans="2:18" x14ac:dyDescent="0.3">
      <c r="B56" s="11" t="s">
        <v>1072</v>
      </c>
      <c r="C56" s="11">
        <v>53.79</v>
      </c>
      <c r="D56" s="11">
        <v>53.79</v>
      </c>
      <c r="E56" s="11">
        <v>51.59</v>
      </c>
      <c r="F56" s="11">
        <v>2.2000000000000002</v>
      </c>
      <c r="G56" s="10">
        <v>2</v>
      </c>
      <c r="H56" s="11">
        <v>200</v>
      </c>
      <c r="I56" s="11">
        <v>52.59</v>
      </c>
      <c r="J56" s="11"/>
      <c r="K56" s="11"/>
      <c r="L56" s="11">
        <v>200</v>
      </c>
      <c r="M56" s="11" t="s">
        <v>691</v>
      </c>
      <c r="N56" s="11">
        <v>52.4</v>
      </c>
      <c r="O56" s="11">
        <v>52.4</v>
      </c>
      <c r="P56" s="11">
        <v>52.59</v>
      </c>
      <c r="Q56" s="11"/>
      <c r="R56" s="11" t="s">
        <v>1221</v>
      </c>
    </row>
    <row r="57" spans="2:18" x14ac:dyDescent="0.3">
      <c r="B57" s="11" t="s">
        <v>1073</v>
      </c>
      <c r="C57" s="11">
        <v>53.04</v>
      </c>
      <c r="D57" s="11">
        <v>53.04</v>
      </c>
      <c r="E57" s="11">
        <v>50.84</v>
      </c>
      <c r="F57" s="11">
        <v>2.2000000000000002</v>
      </c>
      <c r="G57" s="10">
        <v>2</v>
      </c>
      <c r="H57" s="11">
        <v>200</v>
      </c>
      <c r="I57" s="11">
        <v>51.84</v>
      </c>
      <c r="J57" s="11"/>
      <c r="K57" s="11"/>
      <c r="L57" s="11">
        <v>200</v>
      </c>
      <c r="M57" s="11" t="s">
        <v>995</v>
      </c>
      <c r="N57" s="11">
        <v>49.47</v>
      </c>
      <c r="O57" s="11">
        <v>51.81</v>
      </c>
      <c r="P57" s="11">
        <v>51.84</v>
      </c>
      <c r="Q57" s="11"/>
      <c r="R57" s="11" t="s">
        <v>1221</v>
      </c>
    </row>
    <row r="58" spans="2:18" x14ac:dyDescent="0.3">
      <c r="B58" s="11" t="s">
        <v>1074</v>
      </c>
      <c r="C58" s="11">
        <v>53.04</v>
      </c>
      <c r="D58" s="11">
        <v>53.04</v>
      </c>
      <c r="E58" s="11">
        <v>50.84</v>
      </c>
      <c r="F58" s="11">
        <v>2.2000000000000002</v>
      </c>
      <c r="G58" s="10">
        <v>2</v>
      </c>
      <c r="H58" s="11">
        <v>200</v>
      </c>
      <c r="I58" s="11">
        <v>51.84</v>
      </c>
      <c r="J58" s="11"/>
      <c r="K58" s="11"/>
      <c r="L58" s="11">
        <v>200</v>
      </c>
      <c r="M58" s="11" t="s">
        <v>995</v>
      </c>
      <c r="N58" s="11">
        <v>49.47</v>
      </c>
      <c r="O58" s="11">
        <v>51.63</v>
      </c>
      <c r="P58" s="11">
        <v>51.84</v>
      </c>
      <c r="Q58" s="11"/>
      <c r="R58" s="11" t="s">
        <v>1221</v>
      </c>
    </row>
    <row r="59" spans="2:18" x14ac:dyDescent="0.3">
      <c r="B59" s="11" t="s">
        <v>1075</v>
      </c>
      <c r="C59" s="11">
        <v>52.42</v>
      </c>
      <c r="D59" s="11">
        <v>52.42</v>
      </c>
      <c r="E59" s="11">
        <v>50.03</v>
      </c>
      <c r="F59" s="11">
        <v>2.39</v>
      </c>
      <c r="G59" s="10">
        <v>9</v>
      </c>
      <c r="H59" s="11">
        <v>250</v>
      </c>
      <c r="I59" s="11">
        <v>51.03</v>
      </c>
      <c r="J59" s="11">
        <v>200</v>
      </c>
      <c r="K59" s="11">
        <v>51.03</v>
      </c>
      <c r="L59" s="11">
        <v>250</v>
      </c>
      <c r="M59" s="11" t="s">
        <v>86</v>
      </c>
      <c r="N59" s="11">
        <v>50.18</v>
      </c>
      <c r="O59" s="11">
        <v>50.18</v>
      </c>
      <c r="P59" s="11">
        <v>51.03</v>
      </c>
      <c r="Q59" s="11">
        <v>182.2</v>
      </c>
      <c r="R59" s="11" t="s">
        <v>1221</v>
      </c>
    </row>
    <row r="60" spans="2:18" x14ac:dyDescent="0.3">
      <c r="B60" s="11" t="s">
        <v>1076</v>
      </c>
      <c r="C60" s="11">
        <v>52.42</v>
      </c>
      <c r="D60" s="11">
        <v>52.42</v>
      </c>
      <c r="E60" s="11">
        <v>50.22</v>
      </c>
      <c r="F60" s="11">
        <v>2.2000000000000002</v>
      </c>
      <c r="G60" s="10">
        <v>2</v>
      </c>
      <c r="H60" s="11">
        <v>200</v>
      </c>
      <c r="I60" s="11">
        <v>51.22</v>
      </c>
      <c r="J60" s="11"/>
      <c r="K60" s="11"/>
      <c r="L60" s="11">
        <v>200</v>
      </c>
      <c r="M60" s="11" t="s">
        <v>1075</v>
      </c>
      <c r="N60" s="11">
        <v>51.03</v>
      </c>
      <c r="O60" s="11">
        <v>51.03</v>
      </c>
      <c r="P60" s="11">
        <v>51.22</v>
      </c>
      <c r="Q60" s="11"/>
      <c r="R60" s="11" t="s">
        <v>1221</v>
      </c>
    </row>
    <row r="61" spans="2:18" x14ac:dyDescent="0.3">
      <c r="B61" s="11" t="s">
        <v>1077</v>
      </c>
      <c r="C61" s="11">
        <v>51.22</v>
      </c>
      <c r="D61" s="11">
        <v>51.22</v>
      </c>
      <c r="E61" s="11">
        <v>48.83</v>
      </c>
      <c r="F61" s="11">
        <v>2.39</v>
      </c>
      <c r="G61" s="10">
        <v>9</v>
      </c>
      <c r="H61" s="11">
        <v>250</v>
      </c>
      <c r="I61" s="11">
        <v>49.83</v>
      </c>
      <c r="J61" s="11">
        <v>200</v>
      </c>
      <c r="K61" s="11">
        <v>49.83</v>
      </c>
      <c r="L61" s="11">
        <v>250</v>
      </c>
      <c r="M61" s="11" t="s">
        <v>87</v>
      </c>
      <c r="N61" s="11">
        <v>48.85</v>
      </c>
      <c r="O61" s="11">
        <v>48.85</v>
      </c>
      <c r="P61" s="11">
        <v>49.83</v>
      </c>
      <c r="Q61" s="11">
        <v>179</v>
      </c>
      <c r="R61" s="11" t="s">
        <v>1221</v>
      </c>
    </row>
    <row r="62" spans="2:18" x14ac:dyDescent="0.3">
      <c r="B62" s="11" t="s">
        <v>1078</v>
      </c>
      <c r="C62" s="11">
        <v>51.22</v>
      </c>
      <c r="D62" s="11">
        <v>51.22</v>
      </c>
      <c r="E62" s="11">
        <v>49.02</v>
      </c>
      <c r="F62" s="11">
        <v>2.2000000000000002</v>
      </c>
      <c r="G62" s="10">
        <v>2</v>
      </c>
      <c r="H62" s="11">
        <v>200</v>
      </c>
      <c r="I62" s="11">
        <v>50.02</v>
      </c>
      <c r="J62" s="11"/>
      <c r="K62" s="11"/>
      <c r="L62" s="11">
        <v>200</v>
      </c>
      <c r="M62" s="11" t="s">
        <v>1077</v>
      </c>
      <c r="N62" s="11">
        <v>49.83</v>
      </c>
      <c r="O62" s="11">
        <v>49.83</v>
      </c>
      <c r="P62" s="11">
        <v>50.02</v>
      </c>
      <c r="Q62" s="11"/>
      <c r="R62" s="11" t="s">
        <v>1221</v>
      </c>
    </row>
    <row r="63" spans="2:18" x14ac:dyDescent="0.3">
      <c r="B63" s="11" t="s">
        <v>1079</v>
      </c>
      <c r="C63" s="11">
        <v>49.94</v>
      </c>
      <c r="D63" s="11">
        <v>49.94</v>
      </c>
      <c r="E63" s="11">
        <v>47.55</v>
      </c>
      <c r="F63" s="11">
        <v>2.39</v>
      </c>
      <c r="G63" s="10">
        <v>9</v>
      </c>
      <c r="H63" s="11">
        <v>250</v>
      </c>
      <c r="I63" s="11">
        <v>48.55</v>
      </c>
      <c r="J63" s="11">
        <v>200</v>
      </c>
      <c r="K63" s="11">
        <v>48.55</v>
      </c>
      <c r="L63" s="11">
        <v>250</v>
      </c>
      <c r="M63" s="11" t="s">
        <v>88</v>
      </c>
      <c r="N63" s="11">
        <v>47.46</v>
      </c>
      <c r="O63" s="11">
        <v>47.46</v>
      </c>
      <c r="P63" s="11">
        <v>48.55</v>
      </c>
      <c r="Q63" s="11">
        <v>172.9</v>
      </c>
      <c r="R63" s="11" t="s">
        <v>1221</v>
      </c>
    </row>
    <row r="64" spans="2:18" x14ac:dyDescent="0.3">
      <c r="B64" s="11" t="s">
        <v>1080</v>
      </c>
      <c r="C64" s="11">
        <v>49.94</v>
      </c>
      <c r="D64" s="11">
        <v>49.94</v>
      </c>
      <c r="E64" s="11">
        <v>47.74</v>
      </c>
      <c r="F64" s="11">
        <v>2.2000000000000002</v>
      </c>
      <c r="G64" s="10">
        <v>2</v>
      </c>
      <c r="H64" s="11">
        <v>200</v>
      </c>
      <c r="I64" s="11">
        <v>48.74</v>
      </c>
      <c r="J64" s="11"/>
      <c r="K64" s="11"/>
      <c r="L64" s="11">
        <v>200</v>
      </c>
      <c r="M64" s="11" t="s">
        <v>1079</v>
      </c>
      <c r="N64" s="11">
        <v>48.55</v>
      </c>
      <c r="O64" s="11">
        <v>48.55</v>
      </c>
      <c r="P64" s="11">
        <v>48.74</v>
      </c>
      <c r="Q64" s="11"/>
      <c r="R64" s="11" t="s">
        <v>1221</v>
      </c>
    </row>
    <row r="65" spans="2:18" x14ac:dyDescent="0.3">
      <c r="B65" s="11" t="s">
        <v>1081</v>
      </c>
      <c r="C65" s="11">
        <v>47.66</v>
      </c>
      <c r="D65" s="11">
        <v>47.66</v>
      </c>
      <c r="E65" s="11">
        <v>45.27</v>
      </c>
      <c r="F65" s="11">
        <v>2.39</v>
      </c>
      <c r="G65" s="10">
        <v>9</v>
      </c>
      <c r="H65" s="11">
        <v>250</v>
      </c>
      <c r="I65" s="11">
        <v>46.27</v>
      </c>
      <c r="J65" s="11">
        <v>200</v>
      </c>
      <c r="K65" s="11">
        <v>46.27</v>
      </c>
      <c r="L65" s="11">
        <v>250</v>
      </c>
      <c r="M65" s="11" t="s">
        <v>89</v>
      </c>
      <c r="N65" s="11">
        <v>45.66</v>
      </c>
      <c r="O65" s="11">
        <v>45.66</v>
      </c>
      <c r="P65" s="11">
        <v>46.27</v>
      </c>
      <c r="Q65" s="11">
        <v>180</v>
      </c>
      <c r="R65" s="11" t="s">
        <v>1221</v>
      </c>
    </row>
    <row r="66" spans="2:18" x14ac:dyDescent="0.3">
      <c r="B66" s="11" t="s">
        <v>1082</v>
      </c>
      <c r="C66" s="11">
        <v>47.66</v>
      </c>
      <c r="D66" s="11">
        <v>47.66</v>
      </c>
      <c r="E66" s="11">
        <v>45.46</v>
      </c>
      <c r="F66" s="11">
        <v>2.2000000000000002</v>
      </c>
      <c r="G66" s="10">
        <v>2</v>
      </c>
      <c r="H66" s="11">
        <v>200</v>
      </c>
      <c r="I66" s="11">
        <v>46.46</v>
      </c>
      <c r="J66" s="11"/>
      <c r="K66" s="11"/>
      <c r="L66" s="11">
        <v>200</v>
      </c>
      <c r="M66" s="11" t="s">
        <v>1081</v>
      </c>
      <c r="N66" s="11">
        <v>46.27</v>
      </c>
      <c r="O66" s="11">
        <v>46.27</v>
      </c>
      <c r="P66" s="11">
        <v>46.46</v>
      </c>
      <c r="Q66" s="11"/>
      <c r="R66" s="11" t="s">
        <v>1221</v>
      </c>
    </row>
    <row r="67" spans="2:18" x14ac:dyDescent="0.3">
      <c r="B67" s="11" t="s">
        <v>1083</v>
      </c>
      <c r="C67" s="11">
        <v>46.97</v>
      </c>
      <c r="D67" s="11">
        <v>46.97</v>
      </c>
      <c r="E67" s="11">
        <v>44.58</v>
      </c>
      <c r="F67" s="11">
        <v>2.39</v>
      </c>
      <c r="G67" s="10">
        <v>9</v>
      </c>
      <c r="H67" s="11">
        <v>250</v>
      </c>
      <c r="I67" s="11">
        <v>45.58</v>
      </c>
      <c r="J67" s="11">
        <v>200</v>
      </c>
      <c r="K67" s="11">
        <v>45.58</v>
      </c>
      <c r="L67" s="11">
        <v>250</v>
      </c>
      <c r="M67" s="11" t="s">
        <v>90</v>
      </c>
      <c r="N67" s="11">
        <v>45.01</v>
      </c>
      <c r="O67" s="11">
        <v>45.01</v>
      </c>
      <c r="P67" s="11">
        <v>45.58</v>
      </c>
      <c r="Q67" s="11">
        <v>180.4</v>
      </c>
      <c r="R67" s="11" t="s">
        <v>1221</v>
      </c>
    </row>
    <row r="68" spans="2:18" x14ac:dyDescent="0.3">
      <c r="B68" s="11" t="s">
        <v>1084</v>
      </c>
      <c r="C68" s="11">
        <v>46.97</v>
      </c>
      <c r="D68" s="11">
        <v>46.97</v>
      </c>
      <c r="E68" s="11">
        <v>44.77</v>
      </c>
      <c r="F68" s="11">
        <v>2.2000000000000002</v>
      </c>
      <c r="G68" s="10">
        <v>2</v>
      </c>
      <c r="H68" s="11">
        <v>200</v>
      </c>
      <c r="I68" s="11">
        <v>45.77</v>
      </c>
      <c r="J68" s="11"/>
      <c r="K68" s="11"/>
      <c r="L68" s="11">
        <v>200</v>
      </c>
      <c r="M68" s="11" t="s">
        <v>1083</v>
      </c>
      <c r="N68" s="11">
        <v>45.58</v>
      </c>
      <c r="O68" s="11">
        <v>45.58</v>
      </c>
      <c r="P68" s="11">
        <v>45.77</v>
      </c>
      <c r="Q68" s="11"/>
      <c r="R68" s="11" t="s">
        <v>1221</v>
      </c>
    </row>
    <row r="69" spans="2:18" x14ac:dyDescent="0.3">
      <c r="B69" s="11" t="s">
        <v>1085</v>
      </c>
      <c r="C69" s="11">
        <v>46.41</v>
      </c>
      <c r="D69" s="11">
        <v>46.41</v>
      </c>
      <c r="E69" s="11">
        <v>44.02</v>
      </c>
      <c r="F69" s="11">
        <v>2.39</v>
      </c>
      <c r="G69" s="10">
        <v>9</v>
      </c>
      <c r="H69" s="11">
        <v>250</v>
      </c>
      <c r="I69" s="11">
        <v>45.02</v>
      </c>
      <c r="J69" s="11">
        <v>200</v>
      </c>
      <c r="K69" s="11">
        <v>45.02</v>
      </c>
      <c r="L69" s="11">
        <v>250</v>
      </c>
      <c r="M69" s="11" t="s">
        <v>91</v>
      </c>
      <c r="N69" s="11">
        <v>44.52</v>
      </c>
      <c r="O69" s="11">
        <v>44.52</v>
      </c>
      <c r="P69" s="11">
        <v>45.02</v>
      </c>
      <c r="Q69" s="11">
        <v>180.7</v>
      </c>
      <c r="R69" s="11" t="s">
        <v>1221</v>
      </c>
    </row>
    <row r="70" spans="2:18" x14ac:dyDescent="0.3">
      <c r="B70" s="11" t="s">
        <v>1086</v>
      </c>
      <c r="C70" s="11">
        <v>46.41</v>
      </c>
      <c r="D70" s="11">
        <v>46.41</v>
      </c>
      <c r="E70" s="11">
        <v>44.21</v>
      </c>
      <c r="F70" s="11">
        <v>2.2000000000000002</v>
      </c>
      <c r="G70" s="10">
        <v>2</v>
      </c>
      <c r="H70" s="11">
        <v>200</v>
      </c>
      <c r="I70" s="11">
        <v>45.21</v>
      </c>
      <c r="J70" s="11"/>
      <c r="K70" s="11"/>
      <c r="L70" s="11">
        <v>200</v>
      </c>
      <c r="M70" s="11" t="s">
        <v>1085</v>
      </c>
      <c r="N70" s="11">
        <v>45.02</v>
      </c>
      <c r="O70" s="11">
        <v>45.02</v>
      </c>
      <c r="P70" s="11">
        <v>45.21</v>
      </c>
      <c r="Q70" s="11"/>
      <c r="R70" s="11" t="s">
        <v>1221</v>
      </c>
    </row>
    <row r="71" spans="2:18" x14ac:dyDescent="0.3">
      <c r="B71" s="11" t="s">
        <v>1087</v>
      </c>
      <c r="C71" s="11">
        <v>45.98</v>
      </c>
      <c r="D71" s="11">
        <v>45.98</v>
      </c>
      <c r="E71" s="11">
        <v>43.58</v>
      </c>
      <c r="F71" s="11">
        <v>2.4</v>
      </c>
      <c r="G71" s="10">
        <v>9</v>
      </c>
      <c r="H71" s="11">
        <v>250</v>
      </c>
      <c r="I71" s="11">
        <v>44.58</v>
      </c>
      <c r="J71" s="11">
        <v>200</v>
      </c>
      <c r="K71" s="11">
        <v>44.58</v>
      </c>
      <c r="L71" s="11">
        <v>250</v>
      </c>
      <c r="M71" s="11" t="s">
        <v>92</v>
      </c>
      <c r="N71" s="11">
        <v>44.13</v>
      </c>
      <c r="O71" s="11">
        <v>44.13</v>
      </c>
      <c r="P71" s="11">
        <v>44.58</v>
      </c>
      <c r="Q71" s="11">
        <v>180</v>
      </c>
      <c r="R71" s="11" t="s">
        <v>1221</v>
      </c>
    </row>
    <row r="72" spans="2:18" x14ac:dyDescent="0.3">
      <c r="B72" s="11" t="s">
        <v>1088</v>
      </c>
      <c r="C72" s="11">
        <v>45.97</v>
      </c>
      <c r="D72" s="11">
        <v>45.97</v>
      </c>
      <c r="E72" s="11">
        <v>43.77</v>
      </c>
      <c r="F72" s="11">
        <v>2.2000000000000002</v>
      </c>
      <c r="G72" s="10">
        <v>2</v>
      </c>
      <c r="H72" s="11">
        <v>200</v>
      </c>
      <c r="I72" s="11">
        <v>44.77</v>
      </c>
      <c r="J72" s="11"/>
      <c r="K72" s="11"/>
      <c r="L72" s="11">
        <v>200</v>
      </c>
      <c r="M72" s="11" t="s">
        <v>1087</v>
      </c>
      <c r="N72" s="11">
        <v>44.58</v>
      </c>
      <c r="O72" s="11">
        <v>44.58</v>
      </c>
      <c r="P72" s="11">
        <v>44.77</v>
      </c>
      <c r="Q72" s="11"/>
      <c r="R72" s="11" t="s">
        <v>1221</v>
      </c>
    </row>
    <row r="73" spans="2:18" x14ac:dyDescent="0.3">
      <c r="B73" s="11" t="s">
        <v>1089</v>
      </c>
      <c r="C73" s="11">
        <v>45.67</v>
      </c>
      <c r="D73" s="11">
        <v>45.67</v>
      </c>
      <c r="E73" s="11">
        <v>43.28</v>
      </c>
      <c r="F73" s="11">
        <v>2.39</v>
      </c>
      <c r="G73" s="10">
        <v>9</v>
      </c>
      <c r="H73" s="11">
        <v>250</v>
      </c>
      <c r="I73" s="11">
        <v>44.28</v>
      </c>
      <c r="J73" s="11">
        <v>200</v>
      </c>
      <c r="K73" s="11">
        <v>44.28</v>
      </c>
      <c r="L73" s="11">
        <v>250</v>
      </c>
      <c r="M73" s="11" t="s">
        <v>93</v>
      </c>
      <c r="N73" s="11">
        <v>43.88</v>
      </c>
      <c r="O73" s="11">
        <v>43.88</v>
      </c>
      <c r="P73" s="11">
        <v>44.28</v>
      </c>
      <c r="Q73" s="11">
        <v>180.2</v>
      </c>
      <c r="R73" s="11" t="s">
        <v>1221</v>
      </c>
    </row>
    <row r="74" spans="2:18" x14ac:dyDescent="0.3">
      <c r="B74" s="11" t="s">
        <v>1090</v>
      </c>
      <c r="C74" s="11">
        <v>45.67</v>
      </c>
      <c r="D74" s="11">
        <v>45.67</v>
      </c>
      <c r="E74" s="11">
        <v>43.47</v>
      </c>
      <c r="F74" s="11">
        <v>2.2000000000000002</v>
      </c>
      <c r="G74" s="10">
        <v>2</v>
      </c>
      <c r="H74" s="11">
        <v>200</v>
      </c>
      <c r="I74" s="11">
        <v>44.47</v>
      </c>
      <c r="J74" s="11"/>
      <c r="K74" s="11"/>
      <c r="L74" s="11">
        <v>200</v>
      </c>
      <c r="M74" s="11" t="s">
        <v>1089</v>
      </c>
      <c r="N74" s="11">
        <v>44.28</v>
      </c>
      <c r="O74" s="11">
        <v>44.28</v>
      </c>
      <c r="P74" s="11">
        <v>44.47</v>
      </c>
      <c r="Q74" s="11"/>
      <c r="R74" s="11" t="s">
        <v>1221</v>
      </c>
    </row>
    <row r="75" spans="2:18" x14ac:dyDescent="0.3">
      <c r="B75" s="11" t="s">
        <v>1091</v>
      </c>
      <c r="C75" s="11">
        <v>45.49</v>
      </c>
      <c r="D75" s="11">
        <v>45.49</v>
      </c>
      <c r="E75" s="11">
        <v>43.1</v>
      </c>
      <c r="F75" s="11">
        <v>2.39</v>
      </c>
      <c r="G75" s="10">
        <v>9</v>
      </c>
      <c r="H75" s="11">
        <v>250</v>
      </c>
      <c r="I75" s="11">
        <v>44.1</v>
      </c>
      <c r="J75" s="11">
        <v>200</v>
      </c>
      <c r="K75" s="11">
        <v>44.1</v>
      </c>
      <c r="L75" s="11">
        <v>250</v>
      </c>
      <c r="M75" s="11" t="s">
        <v>94</v>
      </c>
      <c r="N75" s="11">
        <v>43.62</v>
      </c>
      <c r="O75" s="11">
        <v>43.62</v>
      </c>
      <c r="P75" s="11">
        <v>44.1</v>
      </c>
      <c r="Q75" s="11">
        <v>180</v>
      </c>
      <c r="R75" s="11" t="s">
        <v>1221</v>
      </c>
    </row>
    <row r="76" spans="2:18" x14ac:dyDescent="0.3">
      <c r="B76" s="11" t="s">
        <v>1092</v>
      </c>
      <c r="C76" s="11">
        <v>45.49</v>
      </c>
      <c r="D76" s="11">
        <v>45.49</v>
      </c>
      <c r="E76" s="11">
        <v>43.29</v>
      </c>
      <c r="F76" s="11">
        <v>2.2000000000000002</v>
      </c>
      <c r="G76" s="10">
        <v>2</v>
      </c>
      <c r="H76" s="11">
        <v>200</v>
      </c>
      <c r="I76" s="11">
        <v>44.29</v>
      </c>
      <c r="J76" s="11"/>
      <c r="K76" s="11"/>
      <c r="L76" s="11">
        <v>200</v>
      </c>
      <c r="M76" s="11" t="s">
        <v>1091</v>
      </c>
      <c r="N76" s="11">
        <v>44.1</v>
      </c>
      <c r="O76" s="11">
        <v>44.1</v>
      </c>
      <c r="P76" s="11">
        <v>44.29</v>
      </c>
      <c r="Q76" s="11"/>
      <c r="R76" s="11" t="s">
        <v>1221</v>
      </c>
    </row>
    <row r="77" spans="2:18" x14ac:dyDescent="0.3">
      <c r="B77" s="11" t="s">
        <v>1093</v>
      </c>
      <c r="C77" s="11">
        <v>45.56</v>
      </c>
      <c r="D77" s="11">
        <v>45.56</v>
      </c>
      <c r="E77" s="11">
        <v>43.17</v>
      </c>
      <c r="F77" s="11">
        <v>2.39</v>
      </c>
      <c r="G77" s="10">
        <v>9</v>
      </c>
      <c r="H77" s="11">
        <v>250</v>
      </c>
      <c r="I77" s="11">
        <v>44.17</v>
      </c>
      <c r="J77" s="11">
        <v>200</v>
      </c>
      <c r="K77" s="11">
        <v>44.17</v>
      </c>
      <c r="L77" s="11">
        <v>250</v>
      </c>
      <c r="M77" s="11" t="s">
        <v>95</v>
      </c>
      <c r="N77" s="11">
        <v>43.73</v>
      </c>
      <c r="O77" s="11">
        <v>43.73</v>
      </c>
      <c r="P77" s="11">
        <v>44.17</v>
      </c>
      <c r="Q77" s="11">
        <v>180.5</v>
      </c>
      <c r="R77" s="11" t="s">
        <v>1221</v>
      </c>
    </row>
    <row r="78" spans="2:18" x14ac:dyDescent="0.3">
      <c r="B78" s="11" t="s">
        <v>1094</v>
      </c>
      <c r="C78" s="11">
        <v>45.56</v>
      </c>
      <c r="D78" s="11">
        <v>45.56</v>
      </c>
      <c r="E78" s="11">
        <v>43.36</v>
      </c>
      <c r="F78" s="11">
        <v>2.2000000000000002</v>
      </c>
      <c r="G78" s="10">
        <v>2</v>
      </c>
      <c r="H78" s="11">
        <v>200</v>
      </c>
      <c r="I78" s="11">
        <v>44.36</v>
      </c>
      <c r="J78" s="11"/>
      <c r="K78" s="11"/>
      <c r="L78" s="11">
        <v>200</v>
      </c>
      <c r="M78" s="11" t="s">
        <v>1093</v>
      </c>
      <c r="N78" s="11">
        <v>44.17</v>
      </c>
      <c r="O78" s="11">
        <v>44.17</v>
      </c>
      <c r="P78" s="11">
        <v>44.36</v>
      </c>
      <c r="Q78" s="11"/>
      <c r="R78" s="11" t="s">
        <v>1221</v>
      </c>
    </row>
    <row r="79" spans="2:18" x14ac:dyDescent="0.3">
      <c r="B79" s="11" t="s">
        <v>1095</v>
      </c>
      <c r="C79" s="11">
        <v>45.44</v>
      </c>
      <c r="D79" s="11">
        <v>45.44</v>
      </c>
      <c r="E79" s="11">
        <v>43.05</v>
      </c>
      <c r="F79" s="11">
        <v>2.39</v>
      </c>
      <c r="G79" s="10">
        <v>9.27</v>
      </c>
      <c r="H79" s="11">
        <v>250</v>
      </c>
      <c r="I79" s="11">
        <v>44.05</v>
      </c>
      <c r="J79" s="11">
        <v>200</v>
      </c>
      <c r="K79" s="11">
        <v>44.05</v>
      </c>
      <c r="L79" s="11">
        <v>250</v>
      </c>
      <c r="M79" s="11" t="s">
        <v>96</v>
      </c>
      <c r="N79" s="11">
        <v>43.7</v>
      </c>
      <c r="O79" s="11">
        <v>43.7</v>
      </c>
      <c r="P79" s="11">
        <v>44.05</v>
      </c>
      <c r="Q79" s="11">
        <v>180</v>
      </c>
      <c r="R79" s="11" t="s">
        <v>1221</v>
      </c>
    </row>
    <row r="80" spans="2:18" x14ac:dyDescent="0.3">
      <c r="B80" s="11" t="s">
        <v>1096</v>
      </c>
      <c r="C80" s="11">
        <v>45.44</v>
      </c>
      <c r="D80" s="11">
        <v>45.44</v>
      </c>
      <c r="E80" s="11">
        <v>43.24</v>
      </c>
      <c r="F80" s="11">
        <v>2.2000000000000002</v>
      </c>
      <c r="G80" s="10">
        <v>2</v>
      </c>
      <c r="H80" s="11">
        <v>200</v>
      </c>
      <c r="I80" s="11">
        <v>44.24</v>
      </c>
      <c r="J80" s="11"/>
      <c r="K80" s="11"/>
      <c r="L80" s="11">
        <v>200</v>
      </c>
      <c r="M80" s="11" t="s">
        <v>1095</v>
      </c>
      <c r="N80" s="11">
        <v>44.05</v>
      </c>
      <c r="O80" s="11">
        <v>44.05</v>
      </c>
      <c r="P80" s="11">
        <v>44.24</v>
      </c>
      <c r="Q80" s="11"/>
      <c r="R80" s="11" t="s">
        <v>1221</v>
      </c>
    </row>
    <row r="81" spans="1:19" x14ac:dyDescent="0.3">
      <c r="B81" s="11" t="s">
        <v>98</v>
      </c>
      <c r="C81" s="11">
        <v>45.78</v>
      </c>
      <c r="D81" s="11">
        <v>45.78</v>
      </c>
      <c r="E81" s="11">
        <v>43.39</v>
      </c>
      <c r="F81" s="11">
        <v>2.39</v>
      </c>
      <c r="G81" s="10">
        <v>9</v>
      </c>
      <c r="H81" s="11">
        <v>250</v>
      </c>
      <c r="I81" s="11">
        <v>44.39</v>
      </c>
      <c r="J81" s="11">
        <v>200</v>
      </c>
      <c r="K81" s="11">
        <v>44.39</v>
      </c>
      <c r="L81" s="11">
        <v>250</v>
      </c>
      <c r="M81" s="11" t="s">
        <v>97</v>
      </c>
      <c r="N81" s="11">
        <v>43.91</v>
      </c>
      <c r="O81" s="11">
        <v>43.91</v>
      </c>
      <c r="P81" s="11">
        <v>44.39</v>
      </c>
      <c r="Q81" s="11">
        <v>179.2</v>
      </c>
      <c r="R81" s="11" t="s">
        <v>1221</v>
      </c>
    </row>
    <row r="82" spans="1:19" x14ac:dyDescent="0.3">
      <c r="B82" s="11" t="s">
        <v>1097</v>
      </c>
      <c r="C82" s="11">
        <v>45.78</v>
      </c>
      <c r="D82" s="11">
        <v>45.78</v>
      </c>
      <c r="E82" s="11">
        <v>43.58</v>
      </c>
      <c r="F82" s="11">
        <v>2.2000000000000002</v>
      </c>
      <c r="G82" s="10">
        <v>2</v>
      </c>
      <c r="H82" s="11">
        <v>200</v>
      </c>
      <c r="I82" s="11">
        <v>44.58</v>
      </c>
      <c r="J82" s="11"/>
      <c r="K82" s="11"/>
      <c r="L82" s="11">
        <v>200</v>
      </c>
      <c r="M82" s="11" t="s">
        <v>98</v>
      </c>
      <c r="N82" s="11">
        <v>44.39</v>
      </c>
      <c r="O82" s="11">
        <v>44.39</v>
      </c>
      <c r="P82" s="11">
        <v>44.58</v>
      </c>
      <c r="Q82" s="11"/>
      <c r="R82" s="11" t="s">
        <v>1221</v>
      </c>
    </row>
    <row r="83" spans="1:19" x14ac:dyDescent="0.3">
      <c r="B83" s="11" t="s">
        <v>1098</v>
      </c>
      <c r="C83" s="11">
        <v>46.05</v>
      </c>
      <c r="D83" s="11">
        <v>46.05</v>
      </c>
      <c r="E83" s="11">
        <v>43.66</v>
      </c>
      <c r="F83" s="11">
        <v>2.39</v>
      </c>
      <c r="G83" s="10">
        <v>9</v>
      </c>
      <c r="H83" s="11">
        <v>250</v>
      </c>
      <c r="I83" s="11">
        <v>44.66</v>
      </c>
      <c r="J83" s="11">
        <v>200</v>
      </c>
      <c r="K83" s="11">
        <v>44.66</v>
      </c>
      <c r="L83" s="11">
        <v>250</v>
      </c>
      <c r="M83" s="11" t="s">
        <v>99</v>
      </c>
      <c r="N83" s="11">
        <v>44.13</v>
      </c>
      <c r="O83" s="11">
        <v>44.13</v>
      </c>
      <c r="P83" s="11">
        <v>44.66</v>
      </c>
      <c r="Q83" s="11">
        <v>179.1</v>
      </c>
      <c r="R83" s="11" t="s">
        <v>1221</v>
      </c>
    </row>
    <row r="84" spans="1:19" x14ac:dyDescent="0.3">
      <c r="B84" s="11" t="s">
        <v>1099</v>
      </c>
      <c r="C84" s="11">
        <v>46.05</v>
      </c>
      <c r="D84" s="11">
        <v>46.05</v>
      </c>
      <c r="E84" s="11">
        <v>43.85</v>
      </c>
      <c r="F84" s="11">
        <v>2.2000000000000002</v>
      </c>
      <c r="G84" s="10">
        <v>2</v>
      </c>
      <c r="H84" s="11">
        <v>200</v>
      </c>
      <c r="I84" s="11">
        <v>44.85</v>
      </c>
      <c r="J84" s="11"/>
      <c r="K84" s="11"/>
      <c r="L84" s="11">
        <v>200</v>
      </c>
      <c r="M84" s="11" t="s">
        <v>1098</v>
      </c>
      <c r="N84" s="11">
        <v>44.66</v>
      </c>
      <c r="O84" s="11">
        <v>44.66</v>
      </c>
      <c r="P84" s="11">
        <v>44.85</v>
      </c>
      <c r="Q84" s="11"/>
      <c r="R84" s="11" t="s">
        <v>1221</v>
      </c>
    </row>
    <row r="85" spans="1:19" x14ac:dyDescent="0.3">
      <c r="B85" s="11" t="s">
        <v>1100</v>
      </c>
      <c r="C85" s="11">
        <v>46.32</v>
      </c>
      <c r="D85" s="11">
        <v>46.32</v>
      </c>
      <c r="E85" s="11">
        <v>43.93</v>
      </c>
      <c r="F85" s="11">
        <v>2.39</v>
      </c>
      <c r="G85" s="10">
        <v>9</v>
      </c>
      <c r="H85" s="11">
        <v>250</v>
      </c>
      <c r="I85" s="11">
        <v>44.93</v>
      </c>
      <c r="J85" s="11">
        <v>200</v>
      </c>
      <c r="K85" s="11">
        <v>44.93</v>
      </c>
      <c r="L85" s="11">
        <v>250</v>
      </c>
      <c r="M85" s="11" t="s">
        <v>100</v>
      </c>
      <c r="N85" s="11">
        <v>44.39</v>
      </c>
      <c r="O85" s="11">
        <v>44.39</v>
      </c>
      <c r="P85" s="11">
        <v>44.93</v>
      </c>
      <c r="Q85" s="11">
        <v>180</v>
      </c>
      <c r="R85" s="11" t="s">
        <v>1221</v>
      </c>
    </row>
    <row r="86" spans="1:19" x14ac:dyDescent="0.3">
      <c r="B86" s="11" t="s">
        <v>1101</v>
      </c>
      <c r="C86" s="11">
        <v>46.32</v>
      </c>
      <c r="D86" s="11">
        <v>46.32</v>
      </c>
      <c r="E86" s="11">
        <v>44.12</v>
      </c>
      <c r="F86" s="11">
        <v>2.2000000000000002</v>
      </c>
      <c r="G86" s="10">
        <v>2</v>
      </c>
      <c r="H86" s="11">
        <v>200</v>
      </c>
      <c r="I86" s="11">
        <v>45.12</v>
      </c>
      <c r="J86" s="11"/>
      <c r="K86" s="11"/>
      <c r="L86" s="11">
        <v>200</v>
      </c>
      <c r="M86" s="11" t="s">
        <v>1100</v>
      </c>
      <c r="N86" s="11">
        <v>44.93</v>
      </c>
      <c r="O86" s="11">
        <v>44.93</v>
      </c>
      <c r="P86" s="11">
        <v>45.12</v>
      </c>
      <c r="Q86" s="11"/>
      <c r="R86" s="11" t="s">
        <v>1221</v>
      </c>
    </row>
    <row r="87" spans="1:19" x14ac:dyDescent="0.3">
      <c r="B87" s="11" t="s">
        <v>1102</v>
      </c>
      <c r="C87" s="11">
        <v>46.59</v>
      </c>
      <c r="D87" s="11">
        <v>46.59</v>
      </c>
      <c r="E87" s="11">
        <v>44.2</v>
      </c>
      <c r="F87" s="11">
        <v>2.39</v>
      </c>
      <c r="G87" s="10">
        <v>9</v>
      </c>
      <c r="H87" s="11">
        <v>250</v>
      </c>
      <c r="I87" s="11">
        <v>45.2</v>
      </c>
      <c r="J87" s="11">
        <v>200</v>
      </c>
      <c r="K87" s="11">
        <v>45.2</v>
      </c>
      <c r="L87" s="11">
        <v>250</v>
      </c>
      <c r="M87" s="11" t="s">
        <v>101</v>
      </c>
      <c r="N87" s="11">
        <v>44.73</v>
      </c>
      <c r="O87" s="11">
        <v>44.73</v>
      </c>
      <c r="P87" s="11">
        <v>45.2</v>
      </c>
      <c r="Q87" s="11">
        <v>179.9</v>
      </c>
      <c r="R87" s="11" t="s">
        <v>1221</v>
      </c>
    </row>
    <row r="88" spans="1:19" x14ac:dyDescent="0.3">
      <c r="B88" s="11" t="s">
        <v>1103</v>
      </c>
      <c r="C88" s="11">
        <v>46.59</v>
      </c>
      <c r="D88" s="11">
        <v>46.59</v>
      </c>
      <c r="E88" s="11">
        <v>44.39</v>
      </c>
      <c r="F88" s="11">
        <v>2.2000000000000002</v>
      </c>
      <c r="G88" s="10">
        <v>2</v>
      </c>
      <c r="H88" s="11">
        <v>200</v>
      </c>
      <c r="I88" s="11">
        <v>45.39</v>
      </c>
      <c r="J88" s="11"/>
      <c r="K88" s="11"/>
      <c r="L88" s="11">
        <v>200</v>
      </c>
      <c r="M88" s="11" t="s">
        <v>1102</v>
      </c>
      <c r="N88" s="11">
        <v>45.2</v>
      </c>
      <c r="O88" s="11">
        <v>45.2</v>
      </c>
      <c r="P88" s="11">
        <v>45.39</v>
      </c>
      <c r="Q88" s="11"/>
      <c r="R88" s="11" t="s">
        <v>1221</v>
      </c>
    </row>
    <row r="89" spans="1:19" x14ac:dyDescent="0.3">
      <c r="B89" s="11" t="s">
        <v>1104</v>
      </c>
      <c r="C89" s="11">
        <v>46.85</v>
      </c>
      <c r="D89" s="11">
        <v>46.85</v>
      </c>
      <c r="E89" s="11">
        <v>44.46</v>
      </c>
      <c r="F89" s="11">
        <v>2.39</v>
      </c>
      <c r="G89" s="10">
        <v>9</v>
      </c>
      <c r="H89" s="11">
        <v>250</v>
      </c>
      <c r="I89" s="11">
        <v>45.46</v>
      </c>
      <c r="J89" s="11">
        <v>200</v>
      </c>
      <c r="K89" s="11">
        <v>45.46</v>
      </c>
      <c r="L89" s="11">
        <v>250</v>
      </c>
      <c r="M89" s="11" t="s">
        <v>102</v>
      </c>
      <c r="N89" s="11">
        <v>44.88</v>
      </c>
      <c r="O89" s="11">
        <v>44.88</v>
      </c>
      <c r="P89" s="11">
        <v>45.46</v>
      </c>
      <c r="Q89" s="11">
        <v>181.6</v>
      </c>
      <c r="R89" s="11" t="s">
        <v>1221</v>
      </c>
    </row>
    <row r="90" spans="1:19" x14ac:dyDescent="0.3">
      <c r="B90" s="11" t="s">
        <v>1105</v>
      </c>
      <c r="C90" s="11">
        <v>46.85</v>
      </c>
      <c r="D90" s="11">
        <v>46.85</v>
      </c>
      <c r="E90" s="11">
        <v>44.65</v>
      </c>
      <c r="F90" s="11">
        <v>2.2000000000000002</v>
      </c>
      <c r="G90" s="10">
        <v>2</v>
      </c>
      <c r="H90" s="11">
        <v>200</v>
      </c>
      <c r="I90" s="11">
        <v>45.65</v>
      </c>
      <c r="J90" s="11"/>
      <c r="K90" s="11"/>
      <c r="L90" s="11">
        <v>200</v>
      </c>
      <c r="M90" s="11" t="s">
        <v>1104</v>
      </c>
      <c r="N90" s="11">
        <v>45.46</v>
      </c>
      <c r="O90" s="11">
        <v>45.46</v>
      </c>
      <c r="P90" s="11">
        <v>45.65</v>
      </c>
      <c r="Q90" s="11"/>
      <c r="R90" s="11" t="s">
        <v>1221</v>
      </c>
    </row>
    <row r="91" spans="1:19" s="3" customFormat="1" x14ac:dyDescent="0.3">
      <c r="A91" s="1"/>
      <c r="B91" s="11" t="s">
        <v>104</v>
      </c>
      <c r="C91" s="11">
        <v>84.29</v>
      </c>
      <c r="D91" s="11">
        <v>84.29</v>
      </c>
      <c r="E91" s="11">
        <v>82.23</v>
      </c>
      <c r="F91" s="11">
        <v>2.06</v>
      </c>
      <c r="G91" s="10">
        <v>0.45</v>
      </c>
      <c r="H91" s="11">
        <v>200</v>
      </c>
      <c r="I91" s="11">
        <v>83.23</v>
      </c>
      <c r="J91" s="11"/>
      <c r="K91" s="11"/>
      <c r="L91" s="11">
        <v>200</v>
      </c>
      <c r="M91" s="11" t="s">
        <v>105</v>
      </c>
      <c r="N91" s="11">
        <v>83.19</v>
      </c>
      <c r="O91" s="11">
        <v>83.19</v>
      </c>
      <c r="P91" s="11">
        <v>83.23</v>
      </c>
      <c r="Q91" s="11"/>
      <c r="R91" s="11" t="s">
        <v>1167</v>
      </c>
      <c r="S91" s="1"/>
    </row>
    <row r="92" spans="1:19" x14ac:dyDescent="0.3">
      <c r="B92" s="11" t="s">
        <v>106</v>
      </c>
      <c r="C92" s="11">
        <v>83.75</v>
      </c>
      <c r="D92" s="11">
        <v>83.75</v>
      </c>
      <c r="E92" s="11">
        <v>81.349999999999994</v>
      </c>
      <c r="F92" s="11">
        <v>2.4</v>
      </c>
      <c r="G92" s="10">
        <v>3.76</v>
      </c>
      <c r="H92" s="11">
        <v>200</v>
      </c>
      <c r="I92" s="11">
        <v>82.35</v>
      </c>
      <c r="J92" s="11"/>
      <c r="K92" s="11"/>
      <c r="L92" s="11">
        <v>200</v>
      </c>
      <c r="M92" s="11" t="s">
        <v>107</v>
      </c>
      <c r="N92" s="11">
        <v>81.97</v>
      </c>
      <c r="O92" s="11">
        <v>81.97</v>
      </c>
      <c r="P92" s="11">
        <v>82.35</v>
      </c>
      <c r="Q92" s="11"/>
      <c r="R92" s="11" t="s">
        <v>1221</v>
      </c>
    </row>
    <row r="93" spans="1:19" x14ac:dyDescent="0.3">
      <c r="B93" s="11" t="s">
        <v>110</v>
      </c>
      <c r="C93" s="11">
        <v>84.19</v>
      </c>
      <c r="D93" s="11">
        <v>84.19</v>
      </c>
      <c r="E93" s="11">
        <v>82.12</v>
      </c>
      <c r="F93" s="11">
        <v>2.0699999999999998</v>
      </c>
      <c r="G93" s="10">
        <v>0.5</v>
      </c>
      <c r="H93" s="11">
        <v>200</v>
      </c>
      <c r="I93" s="11">
        <v>83.12</v>
      </c>
      <c r="J93" s="11"/>
      <c r="K93" s="11"/>
      <c r="L93" s="11">
        <v>200</v>
      </c>
      <c r="M93" s="11" t="s">
        <v>111</v>
      </c>
      <c r="N93" s="11">
        <v>83.07</v>
      </c>
      <c r="O93" s="11">
        <v>83.07</v>
      </c>
      <c r="P93" s="11">
        <v>83.12</v>
      </c>
      <c r="Q93" s="11"/>
      <c r="R93" s="11" t="s">
        <v>1221</v>
      </c>
    </row>
    <row r="94" spans="1:19" ht="15" customHeight="1" x14ac:dyDescent="0.3">
      <c r="B94" s="11" t="s">
        <v>112</v>
      </c>
      <c r="C94" s="11">
        <v>84.47</v>
      </c>
      <c r="D94" s="11">
        <v>84.47</v>
      </c>
      <c r="E94" s="11">
        <v>82.54</v>
      </c>
      <c r="F94" s="11">
        <v>1.93</v>
      </c>
      <c r="G94" s="10">
        <v>0.5</v>
      </c>
      <c r="H94" s="11">
        <v>200</v>
      </c>
      <c r="I94" s="11">
        <v>83.54</v>
      </c>
      <c r="J94" s="11"/>
      <c r="K94" s="11"/>
      <c r="L94" s="11">
        <v>200</v>
      </c>
      <c r="M94" s="11" t="s">
        <v>113</v>
      </c>
      <c r="N94" s="11">
        <v>83.5</v>
      </c>
      <c r="O94" s="11">
        <v>83.5</v>
      </c>
      <c r="P94" s="11">
        <v>83.54</v>
      </c>
      <c r="Q94" s="11"/>
      <c r="R94" s="11" t="s">
        <v>1167</v>
      </c>
    </row>
    <row r="95" spans="1:19" x14ac:dyDescent="0.3">
      <c r="B95" s="11" t="s">
        <v>114</v>
      </c>
      <c r="C95" s="11">
        <v>85.01</v>
      </c>
      <c r="D95" s="11">
        <v>85.01</v>
      </c>
      <c r="E95" s="11">
        <v>83.03</v>
      </c>
      <c r="F95" s="11">
        <v>1.98</v>
      </c>
      <c r="G95" s="10">
        <v>0.5</v>
      </c>
      <c r="H95" s="11">
        <v>200</v>
      </c>
      <c r="I95" s="11">
        <v>84.03</v>
      </c>
      <c r="J95" s="11"/>
      <c r="K95" s="11"/>
      <c r="L95" s="11">
        <v>200</v>
      </c>
      <c r="M95" s="11" t="s">
        <v>115</v>
      </c>
      <c r="N95" s="11">
        <v>84</v>
      </c>
      <c r="O95" s="11">
        <v>84</v>
      </c>
      <c r="P95" s="11">
        <v>84.03</v>
      </c>
      <c r="Q95" s="11"/>
      <c r="R95" s="11" t="s">
        <v>1167</v>
      </c>
    </row>
    <row r="96" spans="1:19" x14ac:dyDescent="0.3">
      <c r="B96" s="11" t="s">
        <v>116</v>
      </c>
      <c r="C96" s="11">
        <v>85.38</v>
      </c>
      <c r="D96" s="11">
        <v>85.38</v>
      </c>
      <c r="E96" s="11">
        <v>83.55</v>
      </c>
      <c r="F96" s="11">
        <v>1.83</v>
      </c>
      <c r="G96" s="10">
        <v>0.5</v>
      </c>
      <c r="H96" s="11">
        <v>200</v>
      </c>
      <c r="I96" s="11">
        <v>84.55</v>
      </c>
      <c r="J96" s="11"/>
      <c r="K96" s="11"/>
      <c r="L96" s="11">
        <v>200</v>
      </c>
      <c r="M96" s="11" t="s">
        <v>117</v>
      </c>
      <c r="N96" s="11">
        <v>84.5</v>
      </c>
      <c r="O96" s="11">
        <v>84.5</v>
      </c>
      <c r="P96" s="11">
        <v>84.55</v>
      </c>
      <c r="Q96" s="11"/>
      <c r="R96" s="11" t="s">
        <v>1167</v>
      </c>
    </row>
    <row r="97" spans="2:18" ht="15" customHeight="1" x14ac:dyDescent="0.3">
      <c r="B97" s="11" t="s">
        <v>118</v>
      </c>
      <c r="C97" s="11">
        <v>85.67</v>
      </c>
      <c r="D97" s="11">
        <v>85.67</v>
      </c>
      <c r="E97" s="11">
        <v>83.54</v>
      </c>
      <c r="F97" s="11">
        <v>2.13</v>
      </c>
      <c r="G97" s="10">
        <v>0.5</v>
      </c>
      <c r="H97" s="11">
        <v>200</v>
      </c>
      <c r="I97" s="11">
        <v>84.54</v>
      </c>
      <c r="J97" s="11"/>
      <c r="K97" s="11"/>
      <c r="L97" s="11">
        <v>200</v>
      </c>
      <c r="M97" s="11" t="s">
        <v>119</v>
      </c>
      <c r="N97" s="11">
        <v>84.51</v>
      </c>
      <c r="O97" s="11">
        <v>84.51</v>
      </c>
      <c r="P97" s="11">
        <v>84.54</v>
      </c>
      <c r="Q97" s="11"/>
      <c r="R97" s="11" t="s">
        <v>1221</v>
      </c>
    </row>
    <row r="98" spans="2:18" x14ac:dyDescent="0.3">
      <c r="B98" s="11" t="s">
        <v>120</v>
      </c>
      <c r="C98" s="11">
        <v>85.76</v>
      </c>
      <c r="D98" s="11">
        <v>85.76</v>
      </c>
      <c r="E98" s="11">
        <v>83.84</v>
      </c>
      <c r="F98" s="11">
        <v>1.92</v>
      </c>
      <c r="G98" s="10">
        <v>0.5</v>
      </c>
      <c r="H98" s="11">
        <v>200</v>
      </c>
      <c r="I98" s="11">
        <v>84.84</v>
      </c>
      <c r="J98" s="11"/>
      <c r="K98" s="11"/>
      <c r="L98" s="11">
        <v>200</v>
      </c>
      <c r="M98" s="11" t="s">
        <v>121</v>
      </c>
      <c r="N98" s="11">
        <v>84.8</v>
      </c>
      <c r="O98" s="11">
        <v>84.8</v>
      </c>
      <c r="P98" s="11">
        <v>84.84</v>
      </c>
      <c r="Q98" s="11"/>
      <c r="R98" s="11" t="s">
        <v>1167</v>
      </c>
    </row>
    <row r="99" spans="2:18" x14ac:dyDescent="0.3">
      <c r="B99" s="11" t="s">
        <v>122</v>
      </c>
      <c r="C99" s="11">
        <v>85.45</v>
      </c>
      <c r="D99" s="11">
        <v>85.45</v>
      </c>
      <c r="E99" s="11">
        <v>83.38</v>
      </c>
      <c r="F99" s="11">
        <v>2.0699999999999998</v>
      </c>
      <c r="G99" s="10">
        <v>0.5</v>
      </c>
      <c r="H99" s="11">
        <v>200</v>
      </c>
      <c r="I99" s="11">
        <v>84.38</v>
      </c>
      <c r="J99" s="11"/>
      <c r="K99" s="11"/>
      <c r="L99" s="11">
        <v>200</v>
      </c>
      <c r="M99" s="11" t="s">
        <v>123</v>
      </c>
      <c r="N99" s="11">
        <v>84.32</v>
      </c>
      <c r="O99" s="11">
        <v>84.32</v>
      </c>
      <c r="P99" s="11">
        <v>84.38</v>
      </c>
      <c r="Q99" s="11"/>
      <c r="R99" s="11" t="s">
        <v>1221</v>
      </c>
    </row>
    <row r="100" spans="2:18" x14ac:dyDescent="0.3">
      <c r="B100" s="11" t="s">
        <v>1106</v>
      </c>
      <c r="C100" s="11">
        <v>50.99</v>
      </c>
      <c r="D100" s="11">
        <v>50.99</v>
      </c>
      <c r="E100" s="11">
        <v>48.13</v>
      </c>
      <c r="F100" s="11">
        <v>2.86</v>
      </c>
      <c r="G100" s="10">
        <v>2</v>
      </c>
      <c r="H100" s="11">
        <v>250</v>
      </c>
      <c r="I100" s="11">
        <v>49.13</v>
      </c>
      <c r="J100" s="11">
        <v>200</v>
      </c>
      <c r="K100" s="11">
        <v>49.13</v>
      </c>
      <c r="L100" s="11">
        <v>250</v>
      </c>
      <c r="M100" s="11" t="s">
        <v>1008</v>
      </c>
      <c r="N100" s="11">
        <v>48.04</v>
      </c>
      <c r="O100" s="11">
        <v>49.09</v>
      </c>
      <c r="P100" s="11">
        <v>49.13</v>
      </c>
      <c r="Q100" s="11">
        <v>249.4</v>
      </c>
      <c r="R100" s="11" t="s">
        <v>1221</v>
      </c>
    </row>
    <row r="101" spans="2:18" x14ac:dyDescent="0.3">
      <c r="B101" s="11" t="s">
        <v>1107</v>
      </c>
      <c r="C101" s="11">
        <v>50.99</v>
      </c>
      <c r="D101" s="11">
        <v>50.99</v>
      </c>
      <c r="E101" s="11">
        <v>48.32</v>
      </c>
      <c r="F101" s="11">
        <v>2.67</v>
      </c>
      <c r="G101" s="10">
        <v>2</v>
      </c>
      <c r="H101" s="11">
        <v>200</v>
      </c>
      <c r="I101" s="11">
        <v>49.32</v>
      </c>
      <c r="J101" s="11"/>
      <c r="K101" s="11"/>
      <c r="L101" s="11">
        <v>200</v>
      </c>
      <c r="M101" s="11" t="s">
        <v>1106</v>
      </c>
      <c r="N101" s="11">
        <v>49.13</v>
      </c>
      <c r="O101" s="11">
        <v>49.13</v>
      </c>
      <c r="P101" s="11">
        <v>49.32</v>
      </c>
      <c r="Q101" s="11"/>
      <c r="R101" s="11" t="s">
        <v>1221</v>
      </c>
    </row>
    <row r="102" spans="2:18" x14ac:dyDescent="0.3">
      <c r="B102" s="11" t="s">
        <v>1108</v>
      </c>
      <c r="C102" s="11">
        <v>49.83</v>
      </c>
      <c r="D102" s="11">
        <v>49.83</v>
      </c>
      <c r="E102" s="11">
        <v>47.44</v>
      </c>
      <c r="F102" s="11">
        <v>2.39</v>
      </c>
      <c r="G102" s="10">
        <v>9.14</v>
      </c>
      <c r="H102" s="11">
        <v>250</v>
      </c>
      <c r="I102" s="11">
        <v>48.44</v>
      </c>
      <c r="J102" s="11">
        <v>200</v>
      </c>
      <c r="K102" s="11">
        <v>48.44</v>
      </c>
      <c r="L102" s="11">
        <v>250</v>
      </c>
      <c r="M102" s="11" t="s">
        <v>125</v>
      </c>
      <c r="N102" s="11">
        <v>47.49</v>
      </c>
      <c r="O102" s="11">
        <v>47.49</v>
      </c>
      <c r="P102" s="11">
        <v>48.44</v>
      </c>
      <c r="Q102" s="11">
        <v>179.9</v>
      </c>
      <c r="R102" s="11" t="s">
        <v>1221</v>
      </c>
    </row>
    <row r="103" spans="2:18" x14ac:dyDescent="0.3">
      <c r="B103" s="11" t="s">
        <v>1109</v>
      </c>
      <c r="C103" s="11">
        <v>49.83</v>
      </c>
      <c r="D103" s="11">
        <v>49.83</v>
      </c>
      <c r="E103" s="11">
        <v>47.63</v>
      </c>
      <c r="F103" s="11">
        <v>2.2000000000000002</v>
      </c>
      <c r="G103" s="10">
        <v>2</v>
      </c>
      <c r="H103" s="11">
        <v>200</v>
      </c>
      <c r="I103" s="11">
        <v>48.63</v>
      </c>
      <c r="J103" s="11"/>
      <c r="K103" s="11"/>
      <c r="L103" s="11">
        <v>200</v>
      </c>
      <c r="M103" s="11" t="s">
        <v>1108</v>
      </c>
      <c r="N103" s="11">
        <v>48.44</v>
      </c>
      <c r="O103" s="11">
        <v>48.44</v>
      </c>
      <c r="P103" s="11">
        <v>48.63</v>
      </c>
      <c r="Q103" s="11"/>
      <c r="R103" s="11" t="s">
        <v>1221</v>
      </c>
    </row>
    <row r="104" spans="2:18" x14ac:dyDescent="0.3">
      <c r="B104" s="11" t="s">
        <v>1110</v>
      </c>
      <c r="C104" s="11">
        <v>48.83</v>
      </c>
      <c r="D104" s="11">
        <v>48.83</v>
      </c>
      <c r="E104" s="11">
        <v>46.45</v>
      </c>
      <c r="F104" s="11">
        <v>2.38</v>
      </c>
      <c r="G104" s="10">
        <v>9</v>
      </c>
      <c r="H104" s="11">
        <v>250</v>
      </c>
      <c r="I104" s="11">
        <v>47.45</v>
      </c>
      <c r="J104" s="11">
        <v>200</v>
      </c>
      <c r="K104" s="11">
        <v>47.45</v>
      </c>
      <c r="L104" s="11">
        <v>250</v>
      </c>
      <c r="M104" s="11" t="s">
        <v>126</v>
      </c>
      <c r="N104" s="11">
        <v>46.74</v>
      </c>
      <c r="O104" s="11">
        <v>46.74</v>
      </c>
      <c r="P104" s="11">
        <v>47.45</v>
      </c>
      <c r="Q104" s="11">
        <v>179.6</v>
      </c>
      <c r="R104" s="11" t="s">
        <v>1221</v>
      </c>
    </row>
    <row r="105" spans="2:18" x14ac:dyDescent="0.3">
      <c r="B105" s="11" t="s">
        <v>1111</v>
      </c>
      <c r="C105" s="11">
        <v>48.84</v>
      </c>
      <c r="D105" s="11">
        <v>48.84</v>
      </c>
      <c r="E105" s="11">
        <v>46.64</v>
      </c>
      <c r="F105" s="11">
        <v>2.2000000000000002</v>
      </c>
      <c r="G105" s="10">
        <v>2</v>
      </c>
      <c r="H105" s="11">
        <v>200</v>
      </c>
      <c r="I105" s="11">
        <v>47.64</v>
      </c>
      <c r="J105" s="11"/>
      <c r="K105" s="11"/>
      <c r="L105" s="11">
        <v>200</v>
      </c>
      <c r="M105" s="11" t="s">
        <v>1110</v>
      </c>
      <c r="N105" s="11">
        <v>47.45</v>
      </c>
      <c r="O105" s="11">
        <v>47.45</v>
      </c>
      <c r="P105" s="11">
        <v>47.64</v>
      </c>
      <c r="Q105" s="11"/>
      <c r="R105" s="11" t="s">
        <v>1221</v>
      </c>
    </row>
    <row r="106" spans="2:18" x14ac:dyDescent="0.3">
      <c r="B106" s="11" t="s">
        <v>1112</v>
      </c>
      <c r="C106" s="11">
        <v>47.94</v>
      </c>
      <c r="D106" s="11">
        <v>47.94</v>
      </c>
      <c r="E106" s="11">
        <v>45.55</v>
      </c>
      <c r="F106" s="11">
        <v>2.39</v>
      </c>
      <c r="G106" s="10">
        <v>9</v>
      </c>
      <c r="H106" s="11">
        <v>250</v>
      </c>
      <c r="I106" s="11">
        <v>46.55</v>
      </c>
      <c r="J106" s="11">
        <v>200</v>
      </c>
      <c r="K106" s="11">
        <v>46.55</v>
      </c>
      <c r="L106" s="11">
        <v>250</v>
      </c>
      <c r="M106" s="11" t="s">
        <v>127</v>
      </c>
      <c r="N106" s="11">
        <v>45.95</v>
      </c>
      <c r="O106" s="11">
        <v>45.95</v>
      </c>
      <c r="P106" s="11">
        <v>46.55</v>
      </c>
      <c r="Q106" s="11">
        <v>178.3</v>
      </c>
      <c r="R106" s="11" t="s">
        <v>1221</v>
      </c>
    </row>
    <row r="107" spans="2:18" x14ac:dyDescent="0.3">
      <c r="B107" s="11" t="s">
        <v>1113</v>
      </c>
      <c r="C107" s="11">
        <v>47.94</v>
      </c>
      <c r="D107" s="11">
        <v>47.94</v>
      </c>
      <c r="E107" s="11">
        <v>45.74</v>
      </c>
      <c r="F107" s="11">
        <v>2.2000000000000002</v>
      </c>
      <c r="G107" s="10">
        <v>2</v>
      </c>
      <c r="H107" s="11">
        <v>200</v>
      </c>
      <c r="I107" s="11">
        <v>46.74</v>
      </c>
      <c r="J107" s="11"/>
      <c r="K107" s="11"/>
      <c r="L107" s="11">
        <v>200</v>
      </c>
      <c r="M107" s="11" t="s">
        <v>1112</v>
      </c>
      <c r="N107" s="11">
        <v>46.55</v>
      </c>
      <c r="O107" s="11">
        <v>46.55</v>
      </c>
      <c r="P107" s="11">
        <v>46.74</v>
      </c>
      <c r="Q107" s="11"/>
      <c r="R107" s="11" t="s">
        <v>1221</v>
      </c>
    </row>
    <row r="108" spans="2:18" x14ac:dyDescent="0.3">
      <c r="B108" s="11" t="s">
        <v>1114</v>
      </c>
      <c r="C108" s="11">
        <v>47.15</v>
      </c>
      <c r="D108" s="11">
        <v>47.15</v>
      </c>
      <c r="E108" s="11">
        <v>44.76</v>
      </c>
      <c r="F108" s="11">
        <v>2.39</v>
      </c>
      <c r="G108" s="10">
        <v>9</v>
      </c>
      <c r="H108" s="11">
        <v>250</v>
      </c>
      <c r="I108" s="11">
        <v>45.76</v>
      </c>
      <c r="J108" s="11">
        <v>200</v>
      </c>
      <c r="K108" s="11">
        <v>45.76</v>
      </c>
      <c r="L108" s="11">
        <v>250</v>
      </c>
      <c r="M108" s="11" t="s">
        <v>128</v>
      </c>
      <c r="N108" s="11">
        <v>45.26</v>
      </c>
      <c r="O108" s="11">
        <v>45.26</v>
      </c>
      <c r="P108" s="11">
        <v>45.76</v>
      </c>
      <c r="Q108" s="11">
        <v>179.5</v>
      </c>
      <c r="R108" s="11" t="s">
        <v>1221</v>
      </c>
    </row>
    <row r="109" spans="2:18" x14ac:dyDescent="0.3">
      <c r="B109" s="11" t="s">
        <v>1115</v>
      </c>
      <c r="C109" s="11">
        <v>47.15</v>
      </c>
      <c r="D109" s="11">
        <v>47.15</v>
      </c>
      <c r="E109" s="11">
        <v>44.95</v>
      </c>
      <c r="F109" s="11">
        <v>2.2000000000000002</v>
      </c>
      <c r="G109" s="10">
        <v>2</v>
      </c>
      <c r="H109" s="11">
        <v>200</v>
      </c>
      <c r="I109" s="11">
        <v>45.95</v>
      </c>
      <c r="J109" s="11"/>
      <c r="K109" s="11"/>
      <c r="L109" s="11">
        <v>200</v>
      </c>
      <c r="M109" s="11" t="s">
        <v>1114</v>
      </c>
      <c r="N109" s="11">
        <v>45.76</v>
      </c>
      <c r="O109" s="11">
        <v>45.76</v>
      </c>
      <c r="P109" s="11">
        <v>45.95</v>
      </c>
      <c r="Q109" s="11"/>
      <c r="R109" s="11" t="s">
        <v>1221</v>
      </c>
    </row>
    <row r="110" spans="2:18" x14ac:dyDescent="0.3">
      <c r="B110" s="11" t="s">
        <v>1116</v>
      </c>
      <c r="C110" s="11">
        <v>46.45</v>
      </c>
      <c r="D110" s="11">
        <v>46.45</v>
      </c>
      <c r="E110" s="11">
        <v>44.06</v>
      </c>
      <c r="F110" s="11">
        <v>2.39</v>
      </c>
      <c r="G110" s="10">
        <v>9</v>
      </c>
      <c r="H110" s="11">
        <v>250</v>
      </c>
      <c r="I110" s="11">
        <v>45.06</v>
      </c>
      <c r="J110" s="11">
        <v>200</v>
      </c>
      <c r="K110" s="11">
        <v>45.06</v>
      </c>
      <c r="L110" s="11">
        <v>250</v>
      </c>
      <c r="M110" s="11" t="s">
        <v>129</v>
      </c>
      <c r="N110" s="11">
        <v>44.65</v>
      </c>
      <c r="O110" s="11">
        <v>44.65</v>
      </c>
      <c r="P110" s="11">
        <v>45.06</v>
      </c>
      <c r="Q110" s="11">
        <v>181.5</v>
      </c>
      <c r="R110" s="11" t="s">
        <v>1221</v>
      </c>
    </row>
    <row r="111" spans="2:18" x14ac:dyDescent="0.3">
      <c r="B111" s="11" t="s">
        <v>1117</v>
      </c>
      <c r="C111" s="11">
        <v>46.45</v>
      </c>
      <c r="D111" s="11">
        <v>46.45</v>
      </c>
      <c r="E111" s="11">
        <v>44.25</v>
      </c>
      <c r="F111" s="11">
        <v>2.2000000000000002</v>
      </c>
      <c r="G111" s="10">
        <v>2</v>
      </c>
      <c r="H111" s="11">
        <v>200</v>
      </c>
      <c r="I111" s="11">
        <v>45.25</v>
      </c>
      <c r="J111" s="11"/>
      <c r="K111" s="11"/>
      <c r="L111" s="11">
        <v>200</v>
      </c>
      <c r="M111" s="11" t="s">
        <v>1116</v>
      </c>
      <c r="N111" s="11">
        <v>45.06</v>
      </c>
      <c r="O111" s="11">
        <v>45.06</v>
      </c>
      <c r="P111" s="11">
        <v>45.25</v>
      </c>
      <c r="Q111" s="11"/>
      <c r="R111" s="11" t="s">
        <v>1221</v>
      </c>
    </row>
    <row r="112" spans="2:18" x14ac:dyDescent="0.3">
      <c r="B112" s="11" t="s">
        <v>1118</v>
      </c>
      <c r="C112" s="11">
        <v>45.85</v>
      </c>
      <c r="D112" s="11">
        <v>45.85</v>
      </c>
      <c r="E112" s="11">
        <v>43.47</v>
      </c>
      <c r="F112" s="11">
        <v>2.38</v>
      </c>
      <c r="G112" s="10">
        <v>9</v>
      </c>
      <c r="H112" s="11">
        <v>250</v>
      </c>
      <c r="I112" s="11">
        <v>44.47</v>
      </c>
      <c r="J112" s="11">
        <v>200</v>
      </c>
      <c r="K112" s="11">
        <v>44.47</v>
      </c>
      <c r="L112" s="11">
        <v>250</v>
      </c>
      <c r="M112" s="11" t="s">
        <v>130</v>
      </c>
      <c r="N112" s="11">
        <v>44.12</v>
      </c>
      <c r="O112" s="11">
        <v>44.12</v>
      </c>
      <c r="P112" s="11">
        <v>44.47</v>
      </c>
      <c r="Q112" s="11">
        <v>179.3</v>
      </c>
      <c r="R112" s="11" t="s">
        <v>1221</v>
      </c>
    </row>
    <row r="113" spans="2:18" x14ac:dyDescent="0.3">
      <c r="B113" s="11" t="s">
        <v>1119</v>
      </c>
      <c r="C113" s="11">
        <v>45.86</v>
      </c>
      <c r="D113" s="11">
        <v>45.86</v>
      </c>
      <c r="E113" s="11">
        <v>43.66</v>
      </c>
      <c r="F113" s="11">
        <v>2.2000000000000002</v>
      </c>
      <c r="G113" s="10">
        <v>2</v>
      </c>
      <c r="H113" s="11">
        <v>200</v>
      </c>
      <c r="I113" s="11">
        <v>44.66</v>
      </c>
      <c r="J113" s="11"/>
      <c r="K113" s="11"/>
      <c r="L113" s="11">
        <v>200</v>
      </c>
      <c r="M113" s="11" t="s">
        <v>1118</v>
      </c>
      <c r="N113" s="11">
        <v>44.47</v>
      </c>
      <c r="O113" s="11">
        <v>44.47</v>
      </c>
      <c r="P113" s="11">
        <v>44.66</v>
      </c>
      <c r="Q113" s="11"/>
      <c r="R113" s="11" t="s">
        <v>1221</v>
      </c>
    </row>
    <row r="114" spans="2:18" x14ac:dyDescent="0.3">
      <c r="B114" s="11" t="s">
        <v>1120</v>
      </c>
      <c r="C114" s="11">
        <v>45.36</v>
      </c>
      <c r="D114" s="11">
        <v>45.36</v>
      </c>
      <c r="E114" s="11">
        <v>42.97</v>
      </c>
      <c r="F114" s="11">
        <v>2.39</v>
      </c>
      <c r="G114" s="10">
        <v>2.8</v>
      </c>
      <c r="H114" s="11">
        <v>250</v>
      </c>
      <c r="I114" s="11">
        <v>43.97</v>
      </c>
      <c r="J114" s="11">
        <v>200</v>
      </c>
      <c r="K114" s="11">
        <v>43.97</v>
      </c>
      <c r="L114" s="11">
        <v>250</v>
      </c>
      <c r="M114" s="11" t="s">
        <v>131</v>
      </c>
      <c r="N114" s="11">
        <v>43.88</v>
      </c>
      <c r="O114" s="11">
        <v>43.88</v>
      </c>
      <c r="P114" s="11">
        <v>43.97</v>
      </c>
      <c r="Q114" s="11">
        <v>180.4</v>
      </c>
      <c r="R114" s="11" t="s">
        <v>1221</v>
      </c>
    </row>
    <row r="115" spans="2:18" x14ac:dyDescent="0.3">
      <c r="B115" s="11" t="s">
        <v>1121</v>
      </c>
      <c r="C115" s="11">
        <v>45.36</v>
      </c>
      <c r="D115" s="11">
        <v>45.36</v>
      </c>
      <c r="E115" s="11">
        <v>43.16</v>
      </c>
      <c r="F115" s="11">
        <v>2.2000000000000002</v>
      </c>
      <c r="G115" s="10">
        <v>2</v>
      </c>
      <c r="H115" s="11">
        <v>200</v>
      </c>
      <c r="I115" s="11">
        <v>44.16</v>
      </c>
      <c r="J115" s="11"/>
      <c r="K115" s="11"/>
      <c r="L115" s="11">
        <v>200</v>
      </c>
      <c r="M115" s="11" t="s">
        <v>1120</v>
      </c>
      <c r="N115" s="11">
        <v>43.97</v>
      </c>
      <c r="O115" s="11">
        <v>43.97</v>
      </c>
      <c r="P115" s="11">
        <v>44.16</v>
      </c>
      <c r="Q115" s="11"/>
      <c r="R115" s="11" t="s">
        <v>1221</v>
      </c>
    </row>
    <row r="116" spans="2:18" x14ac:dyDescent="0.3">
      <c r="B116" s="11" t="s">
        <v>1122</v>
      </c>
      <c r="C116" s="11">
        <v>44.96</v>
      </c>
      <c r="D116" s="11">
        <v>44.96</v>
      </c>
      <c r="E116" s="11">
        <v>42.86</v>
      </c>
      <c r="F116" s="11">
        <v>2.1</v>
      </c>
      <c r="G116" s="10">
        <v>0.5</v>
      </c>
      <c r="H116" s="11">
        <v>250</v>
      </c>
      <c r="I116" s="11">
        <v>43.86</v>
      </c>
      <c r="J116" s="11">
        <v>200</v>
      </c>
      <c r="K116" s="11">
        <v>43.86</v>
      </c>
      <c r="L116" s="11">
        <v>250</v>
      </c>
      <c r="M116" s="11" t="s">
        <v>132</v>
      </c>
      <c r="N116" s="11">
        <v>43.85</v>
      </c>
      <c r="O116" s="11">
        <v>43.85</v>
      </c>
      <c r="P116" s="11">
        <v>43.86</v>
      </c>
      <c r="Q116" s="11">
        <v>180.5</v>
      </c>
      <c r="R116" s="11" t="s">
        <v>1221</v>
      </c>
    </row>
    <row r="117" spans="2:18" x14ac:dyDescent="0.3">
      <c r="B117" s="11" t="s">
        <v>1123</v>
      </c>
      <c r="C117" s="11">
        <v>44.96</v>
      </c>
      <c r="D117" s="11">
        <v>44.96</v>
      </c>
      <c r="E117" s="11">
        <v>42.91</v>
      </c>
      <c r="F117" s="11">
        <v>2.0499999999999998</v>
      </c>
      <c r="G117" s="10">
        <v>0.5</v>
      </c>
      <c r="H117" s="11">
        <v>200</v>
      </c>
      <c r="I117" s="11">
        <v>43.91</v>
      </c>
      <c r="J117" s="11"/>
      <c r="K117" s="11"/>
      <c r="L117" s="11">
        <v>200</v>
      </c>
      <c r="M117" s="11" t="s">
        <v>1122</v>
      </c>
      <c r="N117" s="11">
        <v>43.86</v>
      </c>
      <c r="O117" s="11">
        <v>43.86</v>
      </c>
      <c r="P117" s="11">
        <v>43.91</v>
      </c>
      <c r="Q117" s="11"/>
      <c r="R117" s="11" t="s">
        <v>1221</v>
      </c>
    </row>
    <row r="118" spans="2:18" x14ac:dyDescent="0.3">
      <c r="B118" s="11" t="s">
        <v>1124</v>
      </c>
      <c r="C118" s="11">
        <v>44.67</v>
      </c>
      <c r="D118" s="11">
        <v>44.67</v>
      </c>
      <c r="E118" s="11">
        <v>42.8</v>
      </c>
      <c r="F118" s="11">
        <v>1.87</v>
      </c>
      <c r="G118" s="10">
        <v>0.5</v>
      </c>
      <c r="H118" s="11">
        <v>250</v>
      </c>
      <c r="I118" s="11">
        <v>43.8</v>
      </c>
      <c r="J118" s="11">
        <v>200</v>
      </c>
      <c r="K118" s="11">
        <v>43.8</v>
      </c>
      <c r="L118" s="11">
        <v>250</v>
      </c>
      <c r="M118" s="11" t="s">
        <v>133</v>
      </c>
      <c r="N118" s="11">
        <v>43.79</v>
      </c>
      <c r="O118" s="11">
        <v>43.79</v>
      </c>
      <c r="P118" s="11">
        <v>43.8</v>
      </c>
      <c r="Q118" s="11">
        <v>180.4</v>
      </c>
      <c r="R118" s="11" t="s">
        <v>1167</v>
      </c>
    </row>
    <row r="119" spans="2:18" x14ac:dyDescent="0.3">
      <c r="B119" s="11" t="s">
        <v>1125</v>
      </c>
      <c r="C119" s="11">
        <v>44.67</v>
      </c>
      <c r="D119" s="11">
        <v>44.67</v>
      </c>
      <c r="E119" s="11">
        <v>42.85</v>
      </c>
      <c r="F119" s="11">
        <v>1.82</v>
      </c>
      <c r="G119" s="10">
        <v>0.5</v>
      </c>
      <c r="H119" s="11">
        <v>200</v>
      </c>
      <c r="I119" s="11">
        <v>43.85</v>
      </c>
      <c r="J119" s="11"/>
      <c r="K119" s="11"/>
      <c r="L119" s="11">
        <v>200</v>
      </c>
      <c r="M119" s="11" t="s">
        <v>1124</v>
      </c>
      <c r="N119" s="11">
        <v>43.8</v>
      </c>
      <c r="O119" s="11">
        <v>43.8</v>
      </c>
      <c r="P119" s="11">
        <v>43.85</v>
      </c>
      <c r="Q119" s="11"/>
      <c r="R119" s="11" t="s">
        <v>1167</v>
      </c>
    </row>
    <row r="120" spans="2:18" x14ac:dyDescent="0.3">
      <c r="B120" s="11" t="s">
        <v>1126</v>
      </c>
      <c r="C120" s="11">
        <v>44.47</v>
      </c>
      <c r="D120" s="11">
        <v>44.47</v>
      </c>
      <c r="E120" s="11">
        <v>42.59</v>
      </c>
      <c r="F120" s="11">
        <v>1.88</v>
      </c>
      <c r="G120" s="10">
        <v>0.5</v>
      </c>
      <c r="H120" s="11">
        <v>250</v>
      </c>
      <c r="I120" s="11">
        <v>43.59</v>
      </c>
      <c r="J120" s="11">
        <v>200</v>
      </c>
      <c r="K120" s="11">
        <v>43.59</v>
      </c>
      <c r="L120" s="11">
        <v>250</v>
      </c>
      <c r="M120" s="11" t="s">
        <v>134</v>
      </c>
      <c r="N120" s="11">
        <v>43.58</v>
      </c>
      <c r="O120" s="11">
        <v>43.58</v>
      </c>
      <c r="P120" s="11">
        <v>43.59</v>
      </c>
      <c r="Q120" s="11">
        <v>178.7</v>
      </c>
      <c r="R120" s="11" t="s">
        <v>1167</v>
      </c>
    </row>
    <row r="121" spans="2:18" x14ac:dyDescent="0.3">
      <c r="B121" s="11" t="s">
        <v>1127</v>
      </c>
      <c r="C121" s="11">
        <v>44.47</v>
      </c>
      <c r="D121" s="11">
        <v>44.47</v>
      </c>
      <c r="E121" s="11">
        <v>42.64</v>
      </c>
      <c r="F121" s="11">
        <v>1.83</v>
      </c>
      <c r="G121" s="10">
        <v>0.5</v>
      </c>
      <c r="H121" s="11">
        <v>200</v>
      </c>
      <c r="I121" s="11">
        <v>43.64</v>
      </c>
      <c r="J121" s="11"/>
      <c r="K121" s="11"/>
      <c r="L121" s="11">
        <v>200</v>
      </c>
      <c r="M121" s="11" t="s">
        <v>1126</v>
      </c>
      <c r="N121" s="11">
        <v>43.59</v>
      </c>
      <c r="O121" s="11">
        <v>43.59</v>
      </c>
      <c r="P121" s="11">
        <v>43.64</v>
      </c>
      <c r="Q121" s="11"/>
      <c r="R121" s="11" t="s">
        <v>1167</v>
      </c>
    </row>
    <row r="122" spans="2:18" x14ac:dyDescent="0.3">
      <c r="B122" s="11" t="s">
        <v>1128</v>
      </c>
      <c r="C122" s="11">
        <v>44.46</v>
      </c>
      <c r="D122" s="11">
        <v>44.46</v>
      </c>
      <c r="E122" s="11">
        <v>42.52</v>
      </c>
      <c r="F122" s="11">
        <v>1.94</v>
      </c>
      <c r="G122" s="10">
        <v>0.5</v>
      </c>
      <c r="H122" s="11">
        <v>250</v>
      </c>
      <c r="I122" s="11">
        <v>43.52</v>
      </c>
      <c r="J122" s="11">
        <v>200</v>
      </c>
      <c r="K122" s="11">
        <v>43.52</v>
      </c>
      <c r="L122" s="11">
        <v>250</v>
      </c>
      <c r="M122" s="11" t="s">
        <v>135</v>
      </c>
      <c r="N122" s="11">
        <v>43.5</v>
      </c>
      <c r="O122" s="11">
        <v>43.5</v>
      </c>
      <c r="P122" s="11">
        <v>43.52</v>
      </c>
      <c r="Q122" s="11">
        <v>232.3</v>
      </c>
      <c r="R122" s="11" t="s">
        <v>1167</v>
      </c>
    </row>
    <row r="123" spans="2:18" x14ac:dyDescent="0.3">
      <c r="B123" s="11" t="s">
        <v>1129</v>
      </c>
      <c r="C123" s="11">
        <v>44.46</v>
      </c>
      <c r="D123" s="11">
        <v>44.46</v>
      </c>
      <c r="E123" s="11">
        <v>42.56</v>
      </c>
      <c r="F123" s="11">
        <v>1.9</v>
      </c>
      <c r="G123" s="10">
        <v>0.5</v>
      </c>
      <c r="H123" s="11">
        <v>200</v>
      </c>
      <c r="I123" s="11">
        <v>43.56</v>
      </c>
      <c r="J123" s="11"/>
      <c r="K123" s="11"/>
      <c r="L123" s="11">
        <v>200</v>
      </c>
      <c r="M123" s="11" t="s">
        <v>1128</v>
      </c>
      <c r="N123" s="11">
        <v>43.52</v>
      </c>
      <c r="O123" s="11">
        <v>43.52</v>
      </c>
      <c r="P123" s="11">
        <v>43.56</v>
      </c>
      <c r="Q123" s="11"/>
      <c r="R123" s="11" t="s">
        <v>1167</v>
      </c>
    </row>
    <row r="124" spans="2:18" x14ac:dyDescent="0.3">
      <c r="B124" s="11" t="s">
        <v>1130</v>
      </c>
      <c r="C124" s="11">
        <v>44.4</v>
      </c>
      <c r="D124" s="11">
        <v>44.4</v>
      </c>
      <c r="E124" s="11">
        <v>42.51</v>
      </c>
      <c r="F124" s="11">
        <v>1.89</v>
      </c>
      <c r="G124" s="10">
        <v>0.5</v>
      </c>
      <c r="H124" s="11">
        <v>250</v>
      </c>
      <c r="I124" s="11">
        <v>43.51</v>
      </c>
      <c r="J124" s="11">
        <v>200</v>
      </c>
      <c r="K124" s="11">
        <v>43.51</v>
      </c>
      <c r="L124" s="11">
        <v>250</v>
      </c>
      <c r="M124" s="11" t="s">
        <v>136</v>
      </c>
      <c r="N124" s="11">
        <v>43.5</v>
      </c>
      <c r="O124" s="11">
        <v>43.5</v>
      </c>
      <c r="P124" s="11">
        <v>43.51</v>
      </c>
      <c r="Q124" s="11">
        <v>180.2</v>
      </c>
      <c r="R124" s="11" t="s">
        <v>1167</v>
      </c>
    </row>
    <row r="125" spans="2:18" x14ac:dyDescent="0.3">
      <c r="B125" s="11" t="s">
        <v>1131</v>
      </c>
      <c r="C125" s="11">
        <v>44.4</v>
      </c>
      <c r="D125" s="11">
        <v>44.4</v>
      </c>
      <c r="E125" s="11">
        <v>42.56</v>
      </c>
      <c r="F125" s="11">
        <v>1.84</v>
      </c>
      <c r="G125" s="10">
        <v>0.5</v>
      </c>
      <c r="H125" s="11">
        <v>200</v>
      </c>
      <c r="I125" s="11">
        <v>43.56</v>
      </c>
      <c r="J125" s="11"/>
      <c r="K125" s="11"/>
      <c r="L125" s="11">
        <v>200</v>
      </c>
      <c r="M125" s="11" t="s">
        <v>1130</v>
      </c>
      <c r="N125" s="11">
        <v>43.51</v>
      </c>
      <c r="O125" s="11">
        <v>43.51</v>
      </c>
      <c r="P125" s="11">
        <v>43.56</v>
      </c>
      <c r="Q125" s="11"/>
      <c r="R125" s="11" t="s">
        <v>1167</v>
      </c>
    </row>
    <row r="126" spans="2:18" x14ac:dyDescent="0.3">
      <c r="B126" s="11" t="s">
        <v>1132</v>
      </c>
      <c r="C126" s="11">
        <v>44.52</v>
      </c>
      <c r="D126" s="11">
        <v>44.52</v>
      </c>
      <c r="E126" s="11">
        <v>42.55</v>
      </c>
      <c r="F126" s="11">
        <v>1.97</v>
      </c>
      <c r="G126" s="10">
        <v>0.5</v>
      </c>
      <c r="H126" s="11">
        <v>250</v>
      </c>
      <c r="I126" s="11">
        <v>43.55</v>
      </c>
      <c r="J126" s="11">
        <v>200</v>
      </c>
      <c r="K126" s="11">
        <v>43.55</v>
      </c>
      <c r="L126" s="11">
        <v>250</v>
      </c>
      <c r="M126" s="11" t="s">
        <v>137</v>
      </c>
      <c r="N126" s="11">
        <v>43.54</v>
      </c>
      <c r="O126" s="11">
        <v>43.54</v>
      </c>
      <c r="P126" s="11">
        <v>43.55</v>
      </c>
      <c r="Q126" s="11">
        <v>180.2</v>
      </c>
      <c r="R126" s="11" t="s">
        <v>1167</v>
      </c>
    </row>
    <row r="127" spans="2:18" x14ac:dyDescent="0.3">
      <c r="B127" s="11" t="s">
        <v>1133</v>
      </c>
      <c r="C127" s="11">
        <v>44.52</v>
      </c>
      <c r="D127" s="11">
        <v>44.52</v>
      </c>
      <c r="E127" s="11">
        <v>42.6</v>
      </c>
      <c r="F127" s="11">
        <v>1.92</v>
      </c>
      <c r="G127" s="10">
        <v>0.5</v>
      </c>
      <c r="H127" s="11">
        <v>200</v>
      </c>
      <c r="I127" s="11">
        <v>43.6</v>
      </c>
      <c r="J127" s="11"/>
      <c r="K127" s="11"/>
      <c r="L127" s="11">
        <v>200</v>
      </c>
      <c r="M127" s="11" t="s">
        <v>1132</v>
      </c>
      <c r="N127" s="11">
        <v>43.55</v>
      </c>
      <c r="O127" s="11">
        <v>43.55</v>
      </c>
      <c r="P127" s="11">
        <v>43.6</v>
      </c>
      <c r="Q127" s="11"/>
      <c r="R127" s="11" t="s">
        <v>1167</v>
      </c>
    </row>
    <row r="128" spans="2:18" x14ac:dyDescent="0.3">
      <c r="B128" s="11" t="s">
        <v>138</v>
      </c>
      <c r="C128" s="11">
        <v>44.72</v>
      </c>
      <c r="D128" s="11">
        <v>44.72</v>
      </c>
      <c r="E128" s="11">
        <v>42.67</v>
      </c>
      <c r="F128" s="11">
        <v>2.0499999999999998</v>
      </c>
      <c r="G128" s="10">
        <v>1.05</v>
      </c>
      <c r="H128" s="11">
        <v>200</v>
      </c>
      <c r="I128" s="11">
        <v>43.67</v>
      </c>
      <c r="J128" s="11"/>
      <c r="K128" s="11"/>
      <c r="L128" s="11">
        <v>200</v>
      </c>
      <c r="M128" s="11" t="s">
        <v>139</v>
      </c>
      <c r="N128" s="11">
        <v>43.5</v>
      </c>
      <c r="O128" s="11">
        <v>43.5</v>
      </c>
      <c r="P128" s="11">
        <v>43.67</v>
      </c>
      <c r="Q128" s="11"/>
      <c r="R128" s="11" t="s">
        <v>1221</v>
      </c>
    </row>
    <row r="129" spans="2:18" x14ac:dyDescent="0.3">
      <c r="B129" s="11" t="s">
        <v>142</v>
      </c>
      <c r="C129" s="11">
        <v>44.82</v>
      </c>
      <c r="D129" s="11">
        <v>44.82</v>
      </c>
      <c r="E129" s="11">
        <v>42.42</v>
      </c>
      <c r="F129" s="11">
        <v>2.4</v>
      </c>
      <c r="G129" s="10">
        <v>2</v>
      </c>
      <c r="H129" s="11">
        <v>200</v>
      </c>
      <c r="I129" s="11">
        <v>43.42</v>
      </c>
      <c r="J129" s="11"/>
      <c r="K129" s="11"/>
      <c r="L129" s="11">
        <v>200</v>
      </c>
      <c r="M129" s="11" t="s">
        <v>143</v>
      </c>
      <c r="N129" s="11">
        <v>43.35</v>
      </c>
      <c r="O129" s="11">
        <v>43.35</v>
      </c>
      <c r="P129" s="11">
        <v>43.42</v>
      </c>
      <c r="Q129" s="11"/>
      <c r="R129" s="11" t="s">
        <v>1221</v>
      </c>
    </row>
    <row r="130" spans="2:18" x14ac:dyDescent="0.3">
      <c r="B130" s="11" t="s">
        <v>1134</v>
      </c>
      <c r="C130" s="11">
        <v>45.07</v>
      </c>
      <c r="D130" s="11">
        <v>45.07</v>
      </c>
      <c r="E130" s="11">
        <v>42.82</v>
      </c>
      <c r="F130" s="11">
        <v>2.25</v>
      </c>
      <c r="G130" s="10">
        <v>9</v>
      </c>
      <c r="H130" s="11">
        <v>250</v>
      </c>
      <c r="I130" s="11">
        <v>43.82</v>
      </c>
      <c r="J130" s="11">
        <v>200</v>
      </c>
      <c r="K130" s="11">
        <v>43.82</v>
      </c>
      <c r="L130" s="11">
        <v>250</v>
      </c>
      <c r="M130" s="11" t="s">
        <v>144</v>
      </c>
      <c r="N130" s="11">
        <v>43.49</v>
      </c>
      <c r="O130" s="11">
        <v>43.49</v>
      </c>
      <c r="P130" s="11">
        <v>43.82</v>
      </c>
      <c r="Q130" s="11">
        <v>179.2</v>
      </c>
      <c r="R130" s="11" t="s">
        <v>1221</v>
      </c>
    </row>
    <row r="131" spans="2:18" x14ac:dyDescent="0.3">
      <c r="B131" s="11" t="s">
        <v>1135</v>
      </c>
      <c r="C131" s="11">
        <v>45.07</v>
      </c>
      <c r="D131" s="11">
        <v>45.07</v>
      </c>
      <c r="E131" s="11">
        <v>42.87</v>
      </c>
      <c r="F131" s="11">
        <v>2.2000000000000002</v>
      </c>
      <c r="G131" s="10">
        <v>0.5</v>
      </c>
      <c r="H131" s="11">
        <v>200</v>
      </c>
      <c r="I131" s="11">
        <v>43.87</v>
      </c>
      <c r="J131" s="11"/>
      <c r="K131" s="11"/>
      <c r="L131" s="11">
        <v>200</v>
      </c>
      <c r="M131" s="11" t="s">
        <v>1134</v>
      </c>
      <c r="N131" s="11">
        <v>43.82</v>
      </c>
      <c r="O131" s="11">
        <v>43.82</v>
      </c>
      <c r="P131" s="11">
        <v>43.87</v>
      </c>
      <c r="Q131" s="11"/>
      <c r="R131" s="11" t="s">
        <v>1221</v>
      </c>
    </row>
    <row r="132" spans="2:18" x14ac:dyDescent="0.3">
      <c r="B132" s="11" t="s">
        <v>1136</v>
      </c>
      <c r="C132" s="11">
        <v>45.49</v>
      </c>
      <c r="D132" s="11">
        <v>45.49</v>
      </c>
      <c r="E132" s="11">
        <v>43.25</v>
      </c>
      <c r="F132" s="11">
        <v>2.2400000000000002</v>
      </c>
      <c r="G132" s="10">
        <v>9</v>
      </c>
      <c r="H132" s="11">
        <v>250</v>
      </c>
      <c r="I132" s="11">
        <v>44.25</v>
      </c>
      <c r="J132" s="11">
        <v>200</v>
      </c>
      <c r="K132" s="11">
        <v>44.25</v>
      </c>
      <c r="L132" s="11">
        <v>250</v>
      </c>
      <c r="M132" s="11" t="s">
        <v>145</v>
      </c>
      <c r="N132" s="11">
        <v>43.79</v>
      </c>
      <c r="O132" s="11">
        <v>43.79</v>
      </c>
      <c r="P132" s="11">
        <v>44.25</v>
      </c>
      <c r="Q132" s="11">
        <v>178.6</v>
      </c>
      <c r="R132" s="11" t="s">
        <v>1221</v>
      </c>
    </row>
    <row r="133" spans="2:18" x14ac:dyDescent="0.3">
      <c r="B133" s="11" t="s">
        <v>1137</v>
      </c>
      <c r="C133" s="11">
        <v>45.5</v>
      </c>
      <c r="D133" s="11">
        <v>45.5</v>
      </c>
      <c r="E133" s="11">
        <v>43.3</v>
      </c>
      <c r="F133" s="11">
        <v>2.2000000000000002</v>
      </c>
      <c r="G133" s="10">
        <v>0.5</v>
      </c>
      <c r="H133" s="11">
        <v>200</v>
      </c>
      <c r="I133" s="11">
        <v>44.3</v>
      </c>
      <c r="J133" s="11"/>
      <c r="K133" s="11"/>
      <c r="L133" s="11">
        <v>200</v>
      </c>
      <c r="M133" s="11" t="s">
        <v>1136</v>
      </c>
      <c r="N133" s="11">
        <v>44.25</v>
      </c>
      <c r="O133" s="11">
        <v>44.25</v>
      </c>
      <c r="P133" s="11">
        <v>44.3</v>
      </c>
      <c r="Q133" s="11"/>
      <c r="R133" s="11" t="s">
        <v>1221</v>
      </c>
    </row>
    <row r="134" spans="2:18" x14ac:dyDescent="0.3">
      <c r="B134" s="11" t="s">
        <v>1138</v>
      </c>
      <c r="C134" s="11">
        <v>46.02</v>
      </c>
      <c r="D134" s="11">
        <v>46.02</v>
      </c>
      <c r="E134" s="11">
        <v>43.77</v>
      </c>
      <c r="F134" s="11">
        <v>2.25</v>
      </c>
      <c r="G134" s="10">
        <v>9</v>
      </c>
      <c r="H134" s="11">
        <v>250</v>
      </c>
      <c r="I134" s="11">
        <v>44.77</v>
      </c>
      <c r="J134" s="11">
        <v>200</v>
      </c>
      <c r="K134" s="11">
        <v>44.77</v>
      </c>
      <c r="L134" s="11">
        <v>250</v>
      </c>
      <c r="M134" s="11" t="s">
        <v>146</v>
      </c>
      <c r="N134" s="11">
        <v>44.38</v>
      </c>
      <c r="O134" s="11">
        <v>44.38</v>
      </c>
      <c r="P134" s="11">
        <v>44.77</v>
      </c>
      <c r="Q134" s="11">
        <v>178.5</v>
      </c>
      <c r="R134" s="11" t="s">
        <v>1221</v>
      </c>
    </row>
    <row r="135" spans="2:18" x14ac:dyDescent="0.3">
      <c r="B135" s="11" t="s">
        <v>1139</v>
      </c>
      <c r="C135" s="11">
        <v>46.02</v>
      </c>
      <c r="D135" s="11">
        <v>46.02</v>
      </c>
      <c r="E135" s="11">
        <v>43.82</v>
      </c>
      <c r="F135" s="11">
        <v>2.2000000000000002</v>
      </c>
      <c r="G135" s="10">
        <v>0.5</v>
      </c>
      <c r="H135" s="11">
        <v>200</v>
      </c>
      <c r="I135" s="11">
        <v>44.82</v>
      </c>
      <c r="J135" s="11"/>
      <c r="K135" s="11"/>
      <c r="L135" s="11">
        <v>200</v>
      </c>
      <c r="M135" s="11" t="s">
        <v>1138</v>
      </c>
      <c r="N135" s="11">
        <v>44.77</v>
      </c>
      <c r="O135" s="11">
        <v>44.77</v>
      </c>
      <c r="P135" s="11">
        <v>44.82</v>
      </c>
      <c r="Q135" s="11"/>
      <c r="R135" s="11" t="s">
        <v>1221</v>
      </c>
    </row>
    <row r="136" spans="2:18" x14ac:dyDescent="0.3">
      <c r="B136" s="11" t="s">
        <v>1140</v>
      </c>
      <c r="C136" s="11">
        <v>46.61</v>
      </c>
      <c r="D136" s="11">
        <v>46.61</v>
      </c>
      <c r="E136" s="11">
        <v>44.36</v>
      </c>
      <c r="F136" s="11">
        <v>2.25</v>
      </c>
      <c r="G136" s="10">
        <v>9</v>
      </c>
      <c r="H136" s="11">
        <v>250</v>
      </c>
      <c r="I136" s="11">
        <v>45.36</v>
      </c>
      <c r="J136" s="11">
        <v>200</v>
      </c>
      <c r="K136" s="11">
        <v>45.36</v>
      </c>
      <c r="L136" s="11">
        <v>250</v>
      </c>
      <c r="M136" s="11" t="s">
        <v>147</v>
      </c>
      <c r="N136" s="11">
        <v>44.89</v>
      </c>
      <c r="O136" s="11">
        <v>44.89</v>
      </c>
      <c r="P136" s="11">
        <v>45.36</v>
      </c>
      <c r="Q136" s="11">
        <v>178.8</v>
      </c>
      <c r="R136" s="11" t="s">
        <v>1221</v>
      </c>
    </row>
    <row r="137" spans="2:18" x14ac:dyDescent="0.3">
      <c r="B137" s="11" t="s">
        <v>1141</v>
      </c>
      <c r="C137" s="11">
        <v>46.61</v>
      </c>
      <c r="D137" s="11">
        <v>46.61</v>
      </c>
      <c r="E137" s="11">
        <v>44.41</v>
      </c>
      <c r="F137" s="11">
        <v>2.2000000000000002</v>
      </c>
      <c r="G137" s="10">
        <v>0.5</v>
      </c>
      <c r="H137" s="11">
        <v>200</v>
      </c>
      <c r="I137" s="11">
        <v>45.41</v>
      </c>
      <c r="J137" s="11"/>
      <c r="K137" s="11"/>
      <c r="L137" s="11">
        <v>200</v>
      </c>
      <c r="M137" s="11" t="s">
        <v>1140</v>
      </c>
      <c r="N137" s="11">
        <v>45.36</v>
      </c>
      <c r="O137" s="11">
        <v>45.36</v>
      </c>
      <c r="P137" s="11">
        <v>45.41</v>
      </c>
      <c r="Q137" s="11"/>
      <c r="R137" s="11" t="s">
        <v>1221</v>
      </c>
    </row>
    <row r="138" spans="2:18" x14ac:dyDescent="0.3">
      <c r="B138" s="11" t="s">
        <v>1142</v>
      </c>
      <c r="C138" s="11">
        <v>47.18</v>
      </c>
      <c r="D138" s="11">
        <v>47.18</v>
      </c>
      <c r="E138" s="11">
        <v>44.79</v>
      </c>
      <c r="F138" s="11">
        <v>2.39</v>
      </c>
      <c r="G138" s="10">
        <v>9</v>
      </c>
      <c r="H138" s="11">
        <v>250</v>
      </c>
      <c r="I138" s="11">
        <v>45.79</v>
      </c>
      <c r="J138" s="11">
        <v>200</v>
      </c>
      <c r="K138" s="11">
        <v>45.79</v>
      </c>
      <c r="L138" s="11">
        <v>250</v>
      </c>
      <c r="M138" s="11" t="s">
        <v>148</v>
      </c>
      <c r="N138" s="11">
        <v>45.36</v>
      </c>
      <c r="O138" s="11">
        <v>45.36</v>
      </c>
      <c r="P138" s="11">
        <v>45.79</v>
      </c>
      <c r="Q138" s="11">
        <v>180</v>
      </c>
      <c r="R138" s="11" t="s">
        <v>1221</v>
      </c>
    </row>
    <row r="139" spans="2:18" x14ac:dyDescent="0.3">
      <c r="B139" s="11" t="s">
        <v>1143</v>
      </c>
      <c r="C139" s="11">
        <v>47.18</v>
      </c>
      <c r="D139" s="11">
        <v>47.18</v>
      </c>
      <c r="E139" s="11">
        <v>44.98</v>
      </c>
      <c r="F139" s="11">
        <v>2.2000000000000002</v>
      </c>
      <c r="G139" s="10">
        <v>2</v>
      </c>
      <c r="H139" s="11">
        <v>200</v>
      </c>
      <c r="I139" s="11">
        <v>45.98</v>
      </c>
      <c r="J139" s="11"/>
      <c r="K139" s="11"/>
      <c r="L139" s="11">
        <v>200</v>
      </c>
      <c r="M139" s="11" t="s">
        <v>1142</v>
      </c>
      <c r="N139" s="11">
        <v>45.79</v>
      </c>
      <c r="O139" s="11">
        <v>45.79</v>
      </c>
      <c r="P139" s="11">
        <v>45.98</v>
      </c>
      <c r="Q139" s="11"/>
      <c r="R139" s="11" t="s">
        <v>1221</v>
      </c>
    </row>
    <row r="140" spans="2:18" x14ac:dyDescent="0.3">
      <c r="B140" s="11" t="s">
        <v>1144</v>
      </c>
      <c r="C140" s="11">
        <v>47.68</v>
      </c>
      <c r="D140" s="11">
        <v>47.68</v>
      </c>
      <c r="E140" s="11">
        <v>45.43</v>
      </c>
      <c r="F140" s="11">
        <v>2.25</v>
      </c>
      <c r="G140" s="10">
        <v>9</v>
      </c>
      <c r="H140" s="11">
        <v>250</v>
      </c>
      <c r="I140" s="11">
        <v>46.43</v>
      </c>
      <c r="J140" s="11">
        <v>200</v>
      </c>
      <c r="K140" s="11">
        <v>46.43</v>
      </c>
      <c r="L140" s="11">
        <v>250</v>
      </c>
      <c r="M140" s="11" t="s">
        <v>149</v>
      </c>
      <c r="N140" s="11">
        <v>45.84</v>
      </c>
      <c r="O140" s="11">
        <v>45.84</v>
      </c>
      <c r="P140" s="11">
        <v>46.43</v>
      </c>
      <c r="Q140" s="11">
        <v>179.6</v>
      </c>
      <c r="R140" s="11" t="s">
        <v>1221</v>
      </c>
    </row>
    <row r="141" spans="2:18" x14ac:dyDescent="0.3">
      <c r="B141" s="11" t="s">
        <v>1145</v>
      </c>
      <c r="C141" s="11">
        <v>47.68</v>
      </c>
      <c r="D141" s="11">
        <v>47.68</v>
      </c>
      <c r="E141" s="11">
        <v>45.48</v>
      </c>
      <c r="F141" s="11">
        <v>2.2000000000000002</v>
      </c>
      <c r="G141" s="10">
        <v>0.5</v>
      </c>
      <c r="H141" s="11">
        <v>200</v>
      </c>
      <c r="I141" s="11">
        <v>46.48</v>
      </c>
      <c r="J141" s="11"/>
      <c r="K141" s="11"/>
      <c r="L141" s="11">
        <v>200</v>
      </c>
      <c r="M141" s="11" t="s">
        <v>1144</v>
      </c>
      <c r="N141" s="11">
        <v>46.43</v>
      </c>
      <c r="O141" s="11">
        <v>46.43</v>
      </c>
      <c r="P141" s="11">
        <v>46.48</v>
      </c>
      <c r="Q141" s="11"/>
      <c r="R141" s="11" t="s">
        <v>1221</v>
      </c>
    </row>
    <row r="142" spans="2:18" x14ac:dyDescent="0.3">
      <c r="B142" s="11" t="s">
        <v>1146</v>
      </c>
      <c r="C142" s="11">
        <v>48.08</v>
      </c>
      <c r="D142" s="11">
        <v>48.08</v>
      </c>
      <c r="E142" s="11">
        <v>45.83</v>
      </c>
      <c r="F142" s="11">
        <v>2.25</v>
      </c>
      <c r="G142" s="10">
        <v>9.1999999999999993</v>
      </c>
      <c r="H142" s="11">
        <v>250</v>
      </c>
      <c r="I142" s="11">
        <v>46.83</v>
      </c>
      <c r="J142" s="11">
        <v>200</v>
      </c>
      <c r="K142" s="11">
        <v>46.83</v>
      </c>
      <c r="L142" s="11">
        <v>250</v>
      </c>
      <c r="M142" s="11" t="s">
        <v>150</v>
      </c>
      <c r="N142" s="11">
        <v>46.17</v>
      </c>
      <c r="O142" s="11">
        <v>46.17</v>
      </c>
      <c r="P142" s="11">
        <v>46.83</v>
      </c>
      <c r="Q142" s="11">
        <v>178.5</v>
      </c>
      <c r="R142" s="11" t="s">
        <v>1221</v>
      </c>
    </row>
    <row r="143" spans="2:18" x14ac:dyDescent="0.3">
      <c r="B143" s="11" t="s">
        <v>1147</v>
      </c>
      <c r="C143" s="11">
        <v>48.08</v>
      </c>
      <c r="D143" s="11">
        <v>48.08</v>
      </c>
      <c r="E143" s="11">
        <v>45.88</v>
      </c>
      <c r="F143" s="11">
        <v>2.2000000000000002</v>
      </c>
      <c r="G143" s="10">
        <v>0.5</v>
      </c>
      <c r="H143" s="11">
        <v>200</v>
      </c>
      <c r="I143" s="11">
        <v>46.88</v>
      </c>
      <c r="J143" s="11"/>
      <c r="K143" s="11"/>
      <c r="L143" s="11">
        <v>200</v>
      </c>
      <c r="M143" s="11" t="s">
        <v>1146</v>
      </c>
      <c r="N143" s="11">
        <v>46.83</v>
      </c>
      <c r="O143" s="11">
        <v>46.83</v>
      </c>
      <c r="P143" s="11">
        <v>46.88</v>
      </c>
      <c r="Q143" s="11"/>
      <c r="R143" s="11" t="s">
        <v>1221</v>
      </c>
    </row>
    <row r="144" spans="2:18" x14ac:dyDescent="0.3">
      <c r="B144" s="11" t="s">
        <v>1148</v>
      </c>
      <c r="C144" s="11">
        <v>48.4</v>
      </c>
      <c r="D144" s="11">
        <v>48.4</v>
      </c>
      <c r="E144" s="11">
        <v>46.15</v>
      </c>
      <c r="F144" s="11">
        <v>2.25</v>
      </c>
      <c r="G144" s="10">
        <v>9</v>
      </c>
      <c r="H144" s="11">
        <v>250</v>
      </c>
      <c r="I144" s="11">
        <v>47.15</v>
      </c>
      <c r="J144" s="11">
        <v>200</v>
      </c>
      <c r="K144" s="11">
        <v>47.15</v>
      </c>
      <c r="L144" s="11">
        <v>250</v>
      </c>
      <c r="M144" s="11" t="s">
        <v>151</v>
      </c>
      <c r="N144" s="11">
        <v>46.52</v>
      </c>
      <c r="O144" s="11">
        <v>46.52</v>
      </c>
      <c r="P144" s="11">
        <v>47.15</v>
      </c>
      <c r="Q144" s="11">
        <v>180</v>
      </c>
      <c r="R144" s="11" t="s">
        <v>1221</v>
      </c>
    </row>
    <row r="145" spans="2:18" x14ac:dyDescent="0.3">
      <c r="B145" s="11" t="s">
        <v>1149</v>
      </c>
      <c r="C145" s="11">
        <v>48.4</v>
      </c>
      <c r="D145" s="11">
        <v>48.4</v>
      </c>
      <c r="E145" s="11">
        <v>46.2</v>
      </c>
      <c r="F145" s="11">
        <v>2.2000000000000002</v>
      </c>
      <c r="G145" s="10">
        <v>0.5</v>
      </c>
      <c r="H145" s="11">
        <v>200</v>
      </c>
      <c r="I145" s="11">
        <v>47.2</v>
      </c>
      <c r="J145" s="11"/>
      <c r="K145" s="11"/>
      <c r="L145" s="11">
        <v>200</v>
      </c>
      <c r="M145" s="11" t="s">
        <v>1148</v>
      </c>
      <c r="N145" s="11">
        <v>47.15</v>
      </c>
      <c r="O145" s="11">
        <v>47.15</v>
      </c>
      <c r="P145" s="11">
        <v>47.2</v>
      </c>
      <c r="Q145" s="11"/>
      <c r="R145" s="11" t="s">
        <v>1221</v>
      </c>
    </row>
    <row r="146" spans="2:18" x14ac:dyDescent="0.3">
      <c r="B146" s="11" t="s">
        <v>1150</v>
      </c>
      <c r="C146" s="11">
        <v>48.62</v>
      </c>
      <c r="D146" s="11">
        <v>48.62</v>
      </c>
      <c r="E146" s="11">
        <v>46.37</v>
      </c>
      <c r="F146" s="11">
        <v>2.25</v>
      </c>
      <c r="G146" s="10">
        <v>9</v>
      </c>
      <c r="H146" s="11">
        <v>250</v>
      </c>
      <c r="I146" s="11">
        <v>47.37</v>
      </c>
      <c r="J146" s="11">
        <v>200</v>
      </c>
      <c r="K146" s="11">
        <v>47.37</v>
      </c>
      <c r="L146" s="11">
        <v>250</v>
      </c>
      <c r="M146" s="11" t="s">
        <v>152</v>
      </c>
      <c r="N146" s="11">
        <v>46.43</v>
      </c>
      <c r="O146" s="11">
        <v>46.43</v>
      </c>
      <c r="P146" s="11">
        <v>47.37</v>
      </c>
      <c r="Q146" s="11">
        <v>169.9</v>
      </c>
      <c r="R146" s="11" t="s">
        <v>1221</v>
      </c>
    </row>
    <row r="147" spans="2:18" x14ac:dyDescent="0.3">
      <c r="B147" s="11" t="s">
        <v>1151</v>
      </c>
      <c r="C147" s="11">
        <v>48.62</v>
      </c>
      <c r="D147" s="11">
        <v>48.62</v>
      </c>
      <c r="E147" s="11">
        <v>46.42</v>
      </c>
      <c r="F147" s="11">
        <v>2.2000000000000002</v>
      </c>
      <c r="G147" s="10">
        <v>0.5</v>
      </c>
      <c r="H147" s="11">
        <v>200</v>
      </c>
      <c r="I147" s="11">
        <v>47.42</v>
      </c>
      <c r="J147" s="11"/>
      <c r="K147" s="11"/>
      <c r="L147" s="11">
        <v>200</v>
      </c>
      <c r="M147" s="11" t="s">
        <v>1150</v>
      </c>
      <c r="N147" s="11">
        <v>47.37</v>
      </c>
      <c r="O147" s="11">
        <v>47.37</v>
      </c>
      <c r="P147" s="11">
        <v>47.42</v>
      </c>
      <c r="Q147" s="11"/>
      <c r="R147" s="11" t="s">
        <v>1221</v>
      </c>
    </row>
    <row r="148" spans="2:18" x14ac:dyDescent="0.3">
      <c r="B148" s="11" t="s">
        <v>1152</v>
      </c>
      <c r="C148" s="11">
        <v>48.76</v>
      </c>
      <c r="D148" s="11">
        <v>48.76</v>
      </c>
      <c r="E148" s="11">
        <v>46.51</v>
      </c>
      <c r="F148" s="11">
        <v>2.25</v>
      </c>
      <c r="G148" s="10">
        <v>9.15</v>
      </c>
      <c r="H148" s="11">
        <v>250</v>
      </c>
      <c r="I148" s="11">
        <v>47.51</v>
      </c>
      <c r="J148" s="11">
        <v>200</v>
      </c>
      <c r="K148" s="11">
        <v>47.51</v>
      </c>
      <c r="L148" s="11">
        <v>250</v>
      </c>
      <c r="M148" s="11" t="s">
        <v>153</v>
      </c>
      <c r="N148" s="11">
        <v>46.66</v>
      </c>
      <c r="O148" s="11">
        <v>46.66</v>
      </c>
      <c r="P148" s="11">
        <v>47.51</v>
      </c>
      <c r="Q148" s="11">
        <v>178.4</v>
      </c>
      <c r="R148" s="11" t="s">
        <v>1221</v>
      </c>
    </row>
    <row r="149" spans="2:18" x14ac:dyDescent="0.3">
      <c r="B149" s="11" t="s">
        <v>1153</v>
      </c>
      <c r="C149" s="11">
        <v>48.76</v>
      </c>
      <c r="D149" s="11">
        <v>48.76</v>
      </c>
      <c r="E149" s="11">
        <v>46.56</v>
      </c>
      <c r="F149" s="11">
        <v>2.2000000000000002</v>
      </c>
      <c r="G149" s="10">
        <v>0.5</v>
      </c>
      <c r="H149" s="11">
        <v>200</v>
      </c>
      <c r="I149" s="11">
        <v>47.56</v>
      </c>
      <c r="J149" s="11"/>
      <c r="K149" s="11"/>
      <c r="L149" s="11">
        <v>200</v>
      </c>
      <c r="M149" s="11" t="s">
        <v>1152</v>
      </c>
      <c r="N149" s="11">
        <v>47.51</v>
      </c>
      <c r="O149" s="11">
        <v>47.51</v>
      </c>
      <c r="P149" s="11">
        <v>47.56</v>
      </c>
      <c r="Q149" s="11"/>
      <c r="R149" s="11" t="s">
        <v>1221</v>
      </c>
    </row>
    <row r="150" spans="2:18" x14ac:dyDescent="0.3">
      <c r="B150" s="11" t="s">
        <v>1154</v>
      </c>
      <c r="C150" s="11">
        <v>48.76</v>
      </c>
      <c r="D150" s="11">
        <v>48.76</v>
      </c>
      <c r="E150" s="11">
        <v>46.51</v>
      </c>
      <c r="F150" s="11">
        <v>2.25</v>
      </c>
      <c r="G150" s="10">
        <v>9</v>
      </c>
      <c r="H150" s="11">
        <v>250</v>
      </c>
      <c r="I150" s="11">
        <v>47.51</v>
      </c>
      <c r="J150" s="11">
        <v>200</v>
      </c>
      <c r="K150" s="11">
        <v>47.51</v>
      </c>
      <c r="L150" s="11">
        <v>250</v>
      </c>
      <c r="M150" s="11" t="s">
        <v>154</v>
      </c>
      <c r="N150" s="11">
        <v>46.79</v>
      </c>
      <c r="O150" s="11">
        <v>46.79</v>
      </c>
      <c r="P150" s="11">
        <v>47.51</v>
      </c>
      <c r="Q150" s="11">
        <v>180.1</v>
      </c>
      <c r="R150" s="11" t="s">
        <v>1221</v>
      </c>
    </row>
    <row r="151" spans="2:18" x14ac:dyDescent="0.3">
      <c r="B151" s="11" t="s">
        <v>1155</v>
      </c>
      <c r="C151" s="11">
        <v>48.76</v>
      </c>
      <c r="D151" s="11">
        <v>48.76</v>
      </c>
      <c r="E151" s="11">
        <v>46.56</v>
      </c>
      <c r="F151" s="11">
        <v>2.2000000000000002</v>
      </c>
      <c r="G151" s="10">
        <v>0.5</v>
      </c>
      <c r="H151" s="11">
        <v>200</v>
      </c>
      <c r="I151" s="11">
        <v>47.56</v>
      </c>
      <c r="J151" s="11"/>
      <c r="K151" s="11"/>
      <c r="L151" s="11">
        <v>200</v>
      </c>
      <c r="M151" s="11" t="s">
        <v>1154</v>
      </c>
      <c r="N151" s="11">
        <v>47.51</v>
      </c>
      <c r="O151" s="11">
        <v>47.51</v>
      </c>
      <c r="P151" s="11">
        <v>47.56</v>
      </c>
      <c r="Q151" s="11"/>
      <c r="R151" s="11" t="s">
        <v>1221</v>
      </c>
    </row>
    <row r="152" spans="2:18" x14ac:dyDescent="0.3">
      <c r="B152" s="11" t="s">
        <v>1156</v>
      </c>
      <c r="C152" s="11">
        <v>48.65</v>
      </c>
      <c r="D152" s="11">
        <v>48.65</v>
      </c>
      <c r="E152" s="11">
        <v>45.4</v>
      </c>
      <c r="F152" s="11">
        <v>3.25</v>
      </c>
      <c r="G152" s="10">
        <v>4.7</v>
      </c>
      <c r="H152" s="11">
        <v>250</v>
      </c>
      <c r="I152" s="11">
        <v>46.4</v>
      </c>
      <c r="J152" s="11">
        <v>200</v>
      </c>
      <c r="K152" s="11">
        <v>46.86</v>
      </c>
      <c r="L152" s="11">
        <v>250</v>
      </c>
      <c r="M152" s="11" t="s">
        <v>1010</v>
      </c>
      <c r="N152" s="11">
        <v>46.24</v>
      </c>
      <c r="O152" s="11">
        <v>46.24</v>
      </c>
      <c r="P152" s="11">
        <v>46.4</v>
      </c>
      <c r="Q152" s="11">
        <v>104.2</v>
      </c>
      <c r="R152" s="11" t="s">
        <v>1221</v>
      </c>
    </row>
    <row r="153" spans="2:18" x14ac:dyDescent="0.3">
      <c r="B153" s="11" t="s">
        <v>1157</v>
      </c>
      <c r="C153" s="11">
        <v>48.65</v>
      </c>
      <c r="D153" s="11">
        <v>48.65</v>
      </c>
      <c r="E153" s="11">
        <v>46.05</v>
      </c>
      <c r="F153" s="11">
        <v>2.6</v>
      </c>
      <c r="G153" s="10">
        <v>2</v>
      </c>
      <c r="H153" s="11">
        <v>200</v>
      </c>
      <c r="I153" s="11">
        <v>47.05</v>
      </c>
      <c r="J153" s="11"/>
      <c r="K153" s="11"/>
      <c r="L153" s="11">
        <v>200</v>
      </c>
      <c r="M153" s="11" t="s">
        <v>1156</v>
      </c>
      <c r="N153" s="11">
        <v>46.4</v>
      </c>
      <c r="O153" s="11">
        <v>46.86</v>
      </c>
      <c r="P153" s="11">
        <v>47.05</v>
      </c>
      <c r="Q153" s="11"/>
      <c r="R153" s="11" t="s">
        <v>1221</v>
      </c>
    </row>
    <row r="154" spans="2:18" x14ac:dyDescent="0.3">
      <c r="B154" s="11" t="s">
        <v>1159</v>
      </c>
      <c r="C154" s="11">
        <v>48.72</v>
      </c>
      <c r="D154" s="11">
        <v>48.72</v>
      </c>
      <c r="E154" s="11">
        <v>45.3</v>
      </c>
      <c r="F154" s="11">
        <v>3.42</v>
      </c>
      <c r="G154" s="10">
        <v>1</v>
      </c>
      <c r="H154" s="11">
        <v>200</v>
      </c>
      <c r="I154" s="11">
        <v>46.3</v>
      </c>
      <c r="J154" s="11">
        <v>200</v>
      </c>
      <c r="K154" s="11">
        <v>46.3</v>
      </c>
      <c r="L154" s="11">
        <v>200</v>
      </c>
      <c r="M154" s="11" t="s">
        <v>1010</v>
      </c>
      <c r="N154" s="11">
        <v>46.24</v>
      </c>
      <c r="O154" s="11">
        <v>46.24</v>
      </c>
      <c r="P154" s="11">
        <v>46.3</v>
      </c>
      <c r="Q154" s="11">
        <v>250.7</v>
      </c>
      <c r="R154" s="11" t="s">
        <v>1221</v>
      </c>
    </row>
    <row r="155" spans="2:18" x14ac:dyDescent="0.3">
      <c r="B155" s="11" t="s">
        <v>1158</v>
      </c>
      <c r="C155" s="11">
        <v>48.7</v>
      </c>
      <c r="D155" s="11">
        <v>48.7</v>
      </c>
      <c r="E155" s="11">
        <v>45.45</v>
      </c>
      <c r="F155" s="11">
        <v>3.25</v>
      </c>
      <c r="G155" s="10">
        <v>2</v>
      </c>
      <c r="H155" s="11">
        <v>200</v>
      </c>
      <c r="I155" s="11">
        <v>46.45</v>
      </c>
      <c r="J155" s="11"/>
      <c r="K155" s="11"/>
      <c r="L155" s="11">
        <v>200</v>
      </c>
      <c r="M155" s="11" t="s">
        <v>1159</v>
      </c>
      <c r="N155" s="11">
        <v>46.3</v>
      </c>
      <c r="O155" s="11">
        <v>46.3</v>
      </c>
      <c r="P155" s="11">
        <v>46.45</v>
      </c>
      <c r="Q155" s="11"/>
      <c r="R155" s="11" t="s">
        <v>1221</v>
      </c>
    </row>
    <row r="156" spans="2:18" x14ac:dyDescent="0.3">
      <c r="B156" s="11" t="s">
        <v>158</v>
      </c>
      <c r="C156" s="11">
        <v>84.11</v>
      </c>
      <c r="D156" s="11">
        <v>84.11</v>
      </c>
      <c r="E156" s="11">
        <v>81.63</v>
      </c>
      <c r="F156" s="11">
        <v>2.48</v>
      </c>
      <c r="G156" s="10">
        <v>5</v>
      </c>
      <c r="H156" s="11">
        <v>200</v>
      </c>
      <c r="I156" s="11">
        <v>82.63</v>
      </c>
      <c r="J156" s="11"/>
      <c r="K156" s="11"/>
      <c r="L156" s="11">
        <v>200</v>
      </c>
      <c r="M156" s="11" t="s">
        <v>159</v>
      </c>
      <c r="N156" s="11">
        <v>82.12</v>
      </c>
      <c r="O156" s="11">
        <v>82.12</v>
      </c>
      <c r="P156" s="11">
        <v>82.63</v>
      </c>
      <c r="Q156" s="11"/>
      <c r="R156" s="11" t="s">
        <v>1221</v>
      </c>
    </row>
    <row r="157" spans="2:18" x14ac:dyDescent="0.3">
      <c r="B157" s="11" t="s">
        <v>1160</v>
      </c>
      <c r="C157" s="11">
        <v>86.87</v>
      </c>
      <c r="D157" s="11">
        <v>86.87</v>
      </c>
      <c r="E157" s="11">
        <v>84.94</v>
      </c>
      <c r="F157" s="11">
        <v>1.93</v>
      </c>
      <c r="G157" s="10">
        <v>0.5</v>
      </c>
      <c r="H157" s="11">
        <v>200</v>
      </c>
      <c r="I157" s="11">
        <v>85.94</v>
      </c>
      <c r="J157" s="11"/>
      <c r="K157" s="11"/>
      <c r="L157" s="11">
        <v>200</v>
      </c>
      <c r="M157" s="11" t="s">
        <v>1012</v>
      </c>
      <c r="N157" s="11">
        <v>85.93</v>
      </c>
      <c r="O157" s="11">
        <v>85.93</v>
      </c>
      <c r="P157" s="11">
        <v>85.94</v>
      </c>
      <c r="Q157" s="11"/>
      <c r="R157" s="11" t="s">
        <v>1167</v>
      </c>
    </row>
    <row r="158" spans="2:18" x14ac:dyDescent="0.3">
      <c r="B158" s="11" t="s">
        <v>1161</v>
      </c>
      <c r="C158" s="11">
        <v>56.04</v>
      </c>
      <c r="D158" s="11">
        <v>56.04</v>
      </c>
      <c r="E158" s="11">
        <v>53.59</v>
      </c>
      <c r="F158" s="11">
        <v>2.4500000000000002</v>
      </c>
      <c r="G158" s="10">
        <v>0.65</v>
      </c>
      <c r="H158" s="11">
        <v>250</v>
      </c>
      <c r="I158" s="11">
        <v>54.59</v>
      </c>
      <c r="J158" s="11">
        <v>200</v>
      </c>
      <c r="K158" s="11">
        <v>54.59</v>
      </c>
      <c r="L158" s="11">
        <v>250</v>
      </c>
      <c r="M158" s="11" t="s">
        <v>1015</v>
      </c>
      <c r="N158" s="11">
        <v>54.56</v>
      </c>
      <c r="O158" s="11">
        <v>54.56</v>
      </c>
      <c r="P158" s="11">
        <v>54.59</v>
      </c>
      <c r="Q158" s="11">
        <v>161.1</v>
      </c>
      <c r="R158" s="11" t="s">
        <v>1221</v>
      </c>
    </row>
    <row r="159" spans="2:18" x14ac:dyDescent="0.3">
      <c r="B159" s="11" t="s">
        <v>1162</v>
      </c>
      <c r="C159" s="11">
        <v>56.03</v>
      </c>
      <c r="D159" s="11">
        <v>56.03</v>
      </c>
      <c r="E159" s="11">
        <v>53.63</v>
      </c>
      <c r="F159" s="11">
        <v>2.4</v>
      </c>
      <c r="G159" s="10">
        <v>0.5</v>
      </c>
      <c r="H159" s="11">
        <v>200</v>
      </c>
      <c r="I159" s="11">
        <v>54.63</v>
      </c>
      <c r="J159" s="11"/>
      <c r="K159" s="11"/>
      <c r="L159" s="11">
        <v>200</v>
      </c>
      <c r="M159" s="11" t="s">
        <v>1161</v>
      </c>
      <c r="N159" s="11">
        <v>54.59</v>
      </c>
      <c r="O159" s="11">
        <v>54.59</v>
      </c>
      <c r="P159" s="11">
        <v>54.63</v>
      </c>
      <c r="Q159" s="11"/>
      <c r="R159" s="11" t="s">
        <v>1221</v>
      </c>
    </row>
    <row r="160" spans="2:18" x14ac:dyDescent="0.3">
      <c r="B160" s="11" t="s">
        <v>166</v>
      </c>
      <c r="C160" s="11">
        <v>84.19</v>
      </c>
      <c r="D160" s="11">
        <v>84.19</v>
      </c>
      <c r="E160" s="11">
        <v>82.17</v>
      </c>
      <c r="F160" s="11">
        <v>2.02</v>
      </c>
      <c r="G160" s="10">
        <v>0.5</v>
      </c>
      <c r="H160" s="11">
        <v>200</v>
      </c>
      <c r="I160" s="11">
        <v>83.17</v>
      </c>
      <c r="J160" s="11"/>
      <c r="K160" s="11"/>
      <c r="L160" s="11">
        <v>200</v>
      </c>
      <c r="M160" s="11" t="s">
        <v>167</v>
      </c>
      <c r="N160" s="11">
        <v>83.12</v>
      </c>
      <c r="O160" s="11">
        <v>83.12</v>
      </c>
      <c r="P160" s="11">
        <v>83.17</v>
      </c>
      <c r="Q160" s="11"/>
      <c r="R160" s="11" t="s">
        <v>1221</v>
      </c>
    </row>
    <row r="161" spans="2:18" x14ac:dyDescent="0.3">
      <c r="B161" s="11" t="s">
        <v>1282</v>
      </c>
      <c r="C161" s="11">
        <v>48.17</v>
      </c>
      <c r="D161" s="11">
        <v>48.17</v>
      </c>
      <c r="E161" s="11">
        <v>46.02</v>
      </c>
      <c r="F161" s="11">
        <v>2.15</v>
      </c>
      <c r="G161" s="11">
        <v>0.5</v>
      </c>
      <c r="H161" s="11">
        <v>200</v>
      </c>
      <c r="I161" s="11">
        <v>47.02</v>
      </c>
      <c r="J161" s="11"/>
      <c r="K161" s="11"/>
      <c r="L161" s="11">
        <v>200</v>
      </c>
      <c r="M161" s="11" t="s">
        <v>1248</v>
      </c>
      <c r="N161" s="11">
        <v>46.88</v>
      </c>
      <c r="O161" s="11">
        <v>46.88</v>
      </c>
      <c r="P161" s="11">
        <v>47.02</v>
      </c>
      <c r="Q161" s="11"/>
      <c r="R161" s="11" t="s">
        <v>1221</v>
      </c>
    </row>
    <row r="162" spans="2:18" x14ac:dyDescent="0.3">
      <c r="B162" s="11" t="s">
        <v>168</v>
      </c>
      <c r="C162" s="11">
        <v>44.92</v>
      </c>
      <c r="D162" s="11">
        <v>44.92</v>
      </c>
      <c r="E162" s="11">
        <v>42.84</v>
      </c>
      <c r="F162" s="11">
        <v>2.08</v>
      </c>
      <c r="G162" s="10">
        <v>0.5</v>
      </c>
      <c r="H162" s="11">
        <v>200</v>
      </c>
      <c r="I162" s="11">
        <v>43.84</v>
      </c>
      <c r="J162" s="11"/>
      <c r="K162" s="11"/>
      <c r="L162" s="11">
        <v>200</v>
      </c>
      <c r="M162" s="11" t="s">
        <v>169</v>
      </c>
      <c r="N162" s="11">
        <v>43.8</v>
      </c>
      <c r="O162" s="11">
        <v>43.8</v>
      </c>
      <c r="P162" s="11">
        <v>43.84</v>
      </c>
      <c r="Q162" s="11"/>
      <c r="R162" s="11" t="s">
        <v>1221</v>
      </c>
    </row>
    <row r="163" spans="2:18" x14ac:dyDescent="0.3">
      <c r="B163" s="11" t="s">
        <v>170</v>
      </c>
      <c r="C163" s="11">
        <v>45.24</v>
      </c>
      <c r="D163" s="11">
        <v>45.24</v>
      </c>
      <c r="E163" s="11">
        <v>43.14</v>
      </c>
      <c r="F163" s="11">
        <v>2.1</v>
      </c>
      <c r="G163" s="10">
        <v>2</v>
      </c>
      <c r="H163" s="11">
        <v>200</v>
      </c>
      <c r="I163" s="11">
        <v>44.14</v>
      </c>
      <c r="J163" s="11"/>
      <c r="K163" s="11"/>
      <c r="L163" s="11">
        <v>200</v>
      </c>
      <c r="M163" s="11" t="s">
        <v>171</v>
      </c>
      <c r="N163" s="11">
        <v>43.97</v>
      </c>
      <c r="O163" s="11">
        <v>43.97</v>
      </c>
      <c r="P163" s="11">
        <v>44.14</v>
      </c>
      <c r="Q163" s="11"/>
      <c r="R163" s="11" t="s">
        <v>1221</v>
      </c>
    </row>
    <row r="164" spans="2:18" x14ac:dyDescent="0.3">
      <c r="B164" s="11" t="s">
        <v>172</v>
      </c>
      <c r="C164" s="11">
        <v>45.49</v>
      </c>
      <c r="D164" s="11">
        <v>45.49</v>
      </c>
      <c r="E164" s="11">
        <v>43.6</v>
      </c>
      <c r="F164" s="11">
        <v>1.89</v>
      </c>
      <c r="G164" s="10">
        <v>0.5</v>
      </c>
      <c r="H164" s="11">
        <v>200</v>
      </c>
      <c r="I164" s="11">
        <v>44.6</v>
      </c>
      <c r="J164" s="11"/>
      <c r="K164" s="11"/>
      <c r="L164" s="11">
        <v>200</v>
      </c>
      <c r="M164" s="11" t="s">
        <v>173</v>
      </c>
      <c r="N164" s="11">
        <v>44.56</v>
      </c>
      <c r="O164" s="11">
        <v>44.56</v>
      </c>
      <c r="P164" s="11">
        <v>44.6</v>
      </c>
      <c r="Q164" s="11"/>
      <c r="R164" s="11" t="s">
        <v>1167</v>
      </c>
    </row>
    <row r="165" spans="2:18" x14ac:dyDescent="0.3">
      <c r="B165" s="11" t="s">
        <v>174</v>
      </c>
      <c r="C165" s="11">
        <v>45.75</v>
      </c>
      <c r="D165" s="11">
        <v>45.75</v>
      </c>
      <c r="E165" s="11">
        <v>43.84</v>
      </c>
      <c r="F165" s="11">
        <v>1.91</v>
      </c>
      <c r="G165" s="10">
        <v>0.5</v>
      </c>
      <c r="H165" s="11">
        <v>200</v>
      </c>
      <c r="I165" s="11">
        <v>44.84</v>
      </c>
      <c r="J165" s="11"/>
      <c r="K165" s="11"/>
      <c r="L165" s="11">
        <v>200</v>
      </c>
      <c r="M165" s="11" t="s">
        <v>175</v>
      </c>
      <c r="N165" s="11">
        <v>44.8</v>
      </c>
      <c r="O165" s="11">
        <v>44.8</v>
      </c>
      <c r="P165" s="11">
        <v>44.84</v>
      </c>
      <c r="Q165" s="11"/>
      <c r="R165" s="11" t="s">
        <v>1167</v>
      </c>
    </row>
    <row r="166" spans="2:18" x14ac:dyDescent="0.3">
      <c r="B166" s="11" t="s">
        <v>176</v>
      </c>
      <c r="C166" s="11">
        <v>46</v>
      </c>
      <c r="D166" s="11">
        <v>46</v>
      </c>
      <c r="E166" s="11">
        <v>44.12</v>
      </c>
      <c r="F166" s="11">
        <v>1.88</v>
      </c>
      <c r="G166" s="10">
        <v>0.5</v>
      </c>
      <c r="H166" s="11">
        <v>200</v>
      </c>
      <c r="I166" s="11">
        <v>45.12</v>
      </c>
      <c r="J166" s="11"/>
      <c r="K166" s="11"/>
      <c r="L166" s="11">
        <v>200</v>
      </c>
      <c r="M166" s="11" t="s">
        <v>177</v>
      </c>
      <c r="N166" s="11">
        <v>45.08</v>
      </c>
      <c r="O166" s="11">
        <v>45.08</v>
      </c>
      <c r="P166" s="11">
        <v>45.12</v>
      </c>
      <c r="Q166" s="11"/>
      <c r="R166" s="11" t="s">
        <v>1167</v>
      </c>
    </row>
    <row r="167" spans="2:18" x14ac:dyDescent="0.3">
      <c r="B167" s="11" t="s">
        <v>178</v>
      </c>
      <c r="C167" s="11">
        <v>46.25</v>
      </c>
      <c r="D167" s="11">
        <v>46.25</v>
      </c>
      <c r="E167" s="11">
        <v>44.18</v>
      </c>
      <c r="F167" s="11">
        <v>2.0699999999999998</v>
      </c>
      <c r="G167" s="10">
        <v>0.5</v>
      </c>
      <c r="H167" s="11">
        <v>200</v>
      </c>
      <c r="I167" s="11">
        <v>45.18</v>
      </c>
      <c r="J167" s="11"/>
      <c r="K167" s="11"/>
      <c r="L167" s="11">
        <v>200</v>
      </c>
      <c r="M167" s="11" t="s">
        <v>179</v>
      </c>
      <c r="N167" s="11">
        <v>45.14</v>
      </c>
      <c r="O167" s="11">
        <v>45.14</v>
      </c>
      <c r="P167" s="11">
        <v>45.18</v>
      </c>
      <c r="Q167" s="11"/>
      <c r="R167" s="11" t="s">
        <v>1221</v>
      </c>
    </row>
    <row r="168" spans="2:18" x14ac:dyDescent="0.3">
      <c r="B168" s="11" t="s">
        <v>180</v>
      </c>
      <c r="C168" s="11">
        <v>46.47</v>
      </c>
      <c r="D168" s="11">
        <v>46.47</v>
      </c>
      <c r="E168" s="11">
        <v>44.37</v>
      </c>
      <c r="F168" s="11">
        <v>2.1</v>
      </c>
      <c r="G168" s="10">
        <v>2</v>
      </c>
      <c r="H168" s="11">
        <v>200</v>
      </c>
      <c r="I168" s="11">
        <v>45.37</v>
      </c>
      <c r="J168" s="11"/>
      <c r="K168" s="11"/>
      <c r="L168" s="11">
        <v>200</v>
      </c>
      <c r="M168" s="11" t="s">
        <v>181</v>
      </c>
      <c r="N168" s="11">
        <v>45.21</v>
      </c>
      <c r="O168" s="11">
        <v>45.21</v>
      </c>
      <c r="P168" s="11">
        <v>45.37</v>
      </c>
      <c r="Q168" s="11"/>
      <c r="R168" s="11" t="s">
        <v>1221</v>
      </c>
    </row>
    <row r="169" spans="2:18" x14ac:dyDescent="0.3">
      <c r="B169" s="11" t="s">
        <v>182</v>
      </c>
      <c r="C169" s="11">
        <v>46.59</v>
      </c>
      <c r="D169" s="11">
        <v>46.59</v>
      </c>
      <c r="E169" s="11">
        <v>44.41</v>
      </c>
      <c r="F169" s="11">
        <v>2.1800000000000002</v>
      </c>
      <c r="G169" s="10">
        <v>2</v>
      </c>
      <c r="H169" s="11">
        <v>200</v>
      </c>
      <c r="I169" s="11">
        <v>45.41</v>
      </c>
      <c r="J169" s="11"/>
      <c r="K169" s="11"/>
      <c r="L169" s="11">
        <v>200</v>
      </c>
      <c r="M169" s="11" t="s">
        <v>183</v>
      </c>
      <c r="N169" s="11">
        <v>45.25</v>
      </c>
      <c r="O169" s="11">
        <v>45.25</v>
      </c>
      <c r="P169" s="11">
        <v>45.41</v>
      </c>
      <c r="Q169" s="11"/>
      <c r="R169" s="11" t="s">
        <v>1221</v>
      </c>
    </row>
    <row r="170" spans="2:18" x14ac:dyDescent="0.3">
      <c r="B170" s="11" t="s">
        <v>184</v>
      </c>
      <c r="C170" s="11">
        <v>49.29</v>
      </c>
      <c r="D170" s="11">
        <v>49.29</v>
      </c>
      <c r="E170" s="11">
        <v>47.38</v>
      </c>
      <c r="F170" s="11">
        <v>1.91</v>
      </c>
      <c r="G170" s="10">
        <v>0.5</v>
      </c>
      <c r="H170" s="11">
        <v>200</v>
      </c>
      <c r="I170" s="11">
        <v>48.38</v>
      </c>
      <c r="J170" s="11"/>
      <c r="K170" s="11"/>
      <c r="L170" s="11">
        <v>200</v>
      </c>
      <c r="M170" s="11" t="s">
        <v>185</v>
      </c>
      <c r="N170" s="11">
        <v>48.33</v>
      </c>
      <c r="O170" s="11">
        <v>48.33</v>
      </c>
      <c r="P170" s="11">
        <v>48.38</v>
      </c>
      <c r="Q170" s="11"/>
      <c r="R170" s="11" t="s">
        <v>1167</v>
      </c>
    </row>
    <row r="171" spans="2:18" x14ac:dyDescent="0.3">
      <c r="B171" s="11" t="s">
        <v>186</v>
      </c>
      <c r="C171" s="11">
        <v>48.72</v>
      </c>
      <c r="D171" s="11">
        <v>48.72</v>
      </c>
      <c r="E171" s="11">
        <v>46.83</v>
      </c>
      <c r="F171" s="11">
        <v>1.89</v>
      </c>
      <c r="G171" s="11">
        <v>0.5</v>
      </c>
      <c r="H171" s="11">
        <v>200</v>
      </c>
      <c r="I171" s="11">
        <v>47.83</v>
      </c>
      <c r="J171" s="11"/>
      <c r="K171" s="11"/>
      <c r="L171" s="11">
        <v>200</v>
      </c>
      <c r="M171" s="11" t="s">
        <v>187</v>
      </c>
      <c r="N171" s="11">
        <v>47.74</v>
      </c>
      <c r="O171" s="11">
        <v>47.74</v>
      </c>
      <c r="P171" s="11">
        <v>47.83</v>
      </c>
      <c r="Q171" s="11"/>
      <c r="R171" s="11" t="s">
        <v>1167</v>
      </c>
    </row>
    <row r="172" spans="2:18" x14ac:dyDescent="0.3">
      <c r="B172" s="11" t="s">
        <v>188</v>
      </c>
      <c r="C172" s="11">
        <v>58.74</v>
      </c>
      <c r="D172" s="11">
        <v>58.74</v>
      </c>
      <c r="E172" s="11">
        <v>56.54</v>
      </c>
      <c r="F172" s="11">
        <v>2.2000000000000002</v>
      </c>
      <c r="G172" s="10">
        <v>8.17</v>
      </c>
      <c r="H172" s="11">
        <v>200</v>
      </c>
      <c r="I172" s="11">
        <v>57.54</v>
      </c>
      <c r="J172" s="11"/>
      <c r="K172" s="11"/>
      <c r="L172" s="11">
        <v>200</v>
      </c>
      <c r="M172" s="11" t="s">
        <v>189</v>
      </c>
      <c r="N172" s="11">
        <v>56.77</v>
      </c>
      <c r="O172" s="11">
        <v>56.77</v>
      </c>
      <c r="P172" s="11">
        <v>57.54</v>
      </c>
      <c r="Q172" s="11"/>
      <c r="R172" s="11" t="s">
        <v>1221</v>
      </c>
    </row>
    <row r="173" spans="2:18" x14ac:dyDescent="0.3">
      <c r="B173" s="11" t="s">
        <v>190</v>
      </c>
      <c r="C173" s="11">
        <v>57.18</v>
      </c>
      <c r="D173" s="11">
        <v>57.18</v>
      </c>
      <c r="E173" s="11">
        <v>54.98</v>
      </c>
      <c r="F173" s="11">
        <v>2.2000000000000002</v>
      </c>
      <c r="G173" s="10">
        <v>7.87</v>
      </c>
      <c r="H173" s="11">
        <v>200</v>
      </c>
      <c r="I173" s="11">
        <v>55.98</v>
      </c>
      <c r="J173" s="11"/>
      <c r="K173" s="11"/>
      <c r="L173" s="11">
        <v>200</v>
      </c>
      <c r="M173" s="11" t="s">
        <v>191</v>
      </c>
      <c r="N173" s="11">
        <v>55.25</v>
      </c>
      <c r="O173" s="11">
        <v>55.25</v>
      </c>
      <c r="P173" s="11">
        <v>55.98</v>
      </c>
      <c r="Q173" s="11"/>
      <c r="R173" s="11" t="s">
        <v>1221</v>
      </c>
    </row>
    <row r="174" spans="2:18" x14ac:dyDescent="0.3">
      <c r="B174" s="11" t="s">
        <v>192</v>
      </c>
      <c r="C174" s="11">
        <v>55.51</v>
      </c>
      <c r="D174" s="11">
        <v>55.51</v>
      </c>
      <c r="E174" s="11">
        <v>53.31</v>
      </c>
      <c r="F174" s="11">
        <v>2.2000000000000002</v>
      </c>
      <c r="G174" s="10">
        <v>9</v>
      </c>
      <c r="H174" s="11">
        <v>200</v>
      </c>
      <c r="I174" s="11">
        <v>54.31</v>
      </c>
      <c r="J174" s="11"/>
      <c r="K174" s="11"/>
      <c r="L174" s="11">
        <v>200</v>
      </c>
      <c r="M174" s="11" t="s">
        <v>193</v>
      </c>
      <c r="N174" s="11">
        <v>53.47</v>
      </c>
      <c r="O174" s="11">
        <v>53.47</v>
      </c>
      <c r="P174" s="11">
        <v>54.31</v>
      </c>
      <c r="Q174" s="11"/>
      <c r="R174" s="11" t="s">
        <v>1221</v>
      </c>
    </row>
    <row r="175" spans="2:18" x14ac:dyDescent="0.3">
      <c r="B175" s="11" t="s">
        <v>194</v>
      </c>
      <c r="C175" s="11">
        <v>53.7</v>
      </c>
      <c r="D175" s="11">
        <v>53.7</v>
      </c>
      <c r="E175" s="11">
        <v>51.4</v>
      </c>
      <c r="F175" s="11">
        <v>2.2999999999999998</v>
      </c>
      <c r="G175" s="10">
        <v>9</v>
      </c>
      <c r="H175" s="11">
        <v>200</v>
      </c>
      <c r="I175" s="11">
        <v>52.4</v>
      </c>
      <c r="J175" s="11"/>
      <c r="K175" s="11"/>
      <c r="L175" s="11">
        <v>200</v>
      </c>
      <c r="M175" s="11" t="s">
        <v>195</v>
      </c>
      <c r="N175" s="11">
        <v>51.56</v>
      </c>
      <c r="O175" s="11">
        <v>51.56</v>
      </c>
      <c r="P175" s="11">
        <v>52.4</v>
      </c>
      <c r="Q175" s="11"/>
      <c r="R175" s="11" t="s">
        <v>1221</v>
      </c>
    </row>
    <row r="176" spans="2:18" x14ac:dyDescent="0.3">
      <c r="B176" s="11" t="s">
        <v>196</v>
      </c>
      <c r="C176" s="11">
        <v>51.95</v>
      </c>
      <c r="D176" s="11">
        <v>51.95</v>
      </c>
      <c r="E176" s="11">
        <v>49.58</v>
      </c>
      <c r="F176" s="11">
        <v>2.37</v>
      </c>
      <c r="G176" s="10">
        <v>9</v>
      </c>
      <c r="H176" s="11">
        <v>200</v>
      </c>
      <c r="I176" s="11">
        <v>50.58</v>
      </c>
      <c r="J176" s="11"/>
      <c r="K176" s="11"/>
      <c r="L176" s="11">
        <v>200</v>
      </c>
      <c r="M176" s="11" t="s">
        <v>197</v>
      </c>
      <c r="N176" s="11">
        <v>49.78</v>
      </c>
      <c r="O176" s="11">
        <v>49.78</v>
      </c>
      <c r="P176" s="11">
        <v>50.58</v>
      </c>
      <c r="Q176" s="11"/>
      <c r="R176" s="11" t="s">
        <v>1221</v>
      </c>
    </row>
    <row r="177" spans="2:18" x14ac:dyDescent="0.3">
      <c r="B177" s="11" t="s">
        <v>198</v>
      </c>
      <c r="C177" s="11">
        <v>49.02</v>
      </c>
      <c r="D177" s="11">
        <v>49.02</v>
      </c>
      <c r="E177" s="11">
        <v>46.82</v>
      </c>
      <c r="F177" s="11">
        <v>2.2000000000000002</v>
      </c>
      <c r="G177" s="10">
        <v>9.09</v>
      </c>
      <c r="H177" s="11">
        <v>200</v>
      </c>
      <c r="I177" s="11">
        <v>47.82</v>
      </c>
      <c r="J177" s="11"/>
      <c r="K177" s="11"/>
      <c r="L177" s="11">
        <v>200</v>
      </c>
      <c r="M177" s="11" t="s">
        <v>199</v>
      </c>
      <c r="N177" s="11">
        <v>47.41</v>
      </c>
      <c r="O177" s="11">
        <v>47.41</v>
      </c>
      <c r="P177" s="11">
        <v>47.82</v>
      </c>
      <c r="Q177" s="11"/>
      <c r="R177" s="11" t="s">
        <v>1221</v>
      </c>
    </row>
    <row r="178" spans="2:18" x14ac:dyDescent="0.3">
      <c r="B178" s="11" t="s">
        <v>200</v>
      </c>
      <c r="C178" s="11">
        <v>49.21</v>
      </c>
      <c r="D178" s="11">
        <v>49.21</v>
      </c>
      <c r="E178" s="11">
        <v>47.01</v>
      </c>
      <c r="F178" s="11">
        <v>2.2000000000000002</v>
      </c>
      <c r="G178" s="10">
        <v>9</v>
      </c>
      <c r="H178" s="11">
        <v>200</v>
      </c>
      <c r="I178" s="11">
        <v>48.01</v>
      </c>
      <c r="J178" s="11"/>
      <c r="K178" s="11"/>
      <c r="L178" s="11">
        <v>200</v>
      </c>
      <c r="M178" s="11" t="s">
        <v>201</v>
      </c>
      <c r="N178" s="11">
        <v>47.69</v>
      </c>
      <c r="O178" s="11">
        <v>47.69</v>
      </c>
      <c r="P178" s="11">
        <v>48.01</v>
      </c>
      <c r="Q178" s="11"/>
      <c r="R178" s="11" t="s">
        <v>1221</v>
      </c>
    </row>
    <row r="179" spans="2:18" x14ac:dyDescent="0.3">
      <c r="B179" s="11" t="s">
        <v>202</v>
      </c>
      <c r="C179" s="11">
        <v>49.58</v>
      </c>
      <c r="D179" s="11">
        <v>49.58</v>
      </c>
      <c r="E179" s="11">
        <v>47.38</v>
      </c>
      <c r="F179" s="11">
        <v>2.2000000000000002</v>
      </c>
      <c r="G179" s="10">
        <v>9</v>
      </c>
      <c r="H179" s="11">
        <v>200</v>
      </c>
      <c r="I179" s="11">
        <v>48.38</v>
      </c>
      <c r="J179" s="11"/>
      <c r="K179" s="11"/>
      <c r="L179" s="11">
        <v>200</v>
      </c>
      <c r="M179" s="11" t="s">
        <v>203</v>
      </c>
      <c r="N179" s="11">
        <v>47.98</v>
      </c>
      <c r="O179" s="11">
        <v>47.98</v>
      </c>
      <c r="P179" s="11">
        <v>48.38</v>
      </c>
      <c r="Q179" s="11"/>
      <c r="R179" s="11" t="s">
        <v>1221</v>
      </c>
    </row>
    <row r="180" spans="2:18" x14ac:dyDescent="0.3">
      <c r="B180" s="11" t="s">
        <v>204</v>
      </c>
      <c r="C180" s="11">
        <v>49.59</v>
      </c>
      <c r="D180" s="11">
        <v>49.59</v>
      </c>
      <c r="E180" s="11">
        <v>47.39</v>
      </c>
      <c r="F180" s="11">
        <v>2.2000000000000002</v>
      </c>
      <c r="G180" s="10">
        <v>9</v>
      </c>
      <c r="H180" s="11">
        <v>200</v>
      </c>
      <c r="I180" s="11">
        <v>48.39</v>
      </c>
      <c r="J180" s="11"/>
      <c r="K180" s="11"/>
      <c r="L180" s="11">
        <v>200</v>
      </c>
      <c r="M180" s="11" t="s">
        <v>205</v>
      </c>
      <c r="N180" s="11">
        <v>48.03</v>
      </c>
      <c r="O180" s="11">
        <v>48.03</v>
      </c>
      <c r="P180" s="11">
        <v>48.39</v>
      </c>
      <c r="Q180" s="11"/>
      <c r="R180" s="11" t="s">
        <v>1221</v>
      </c>
    </row>
    <row r="181" spans="2:18" x14ac:dyDescent="0.3">
      <c r="B181" s="11" t="s">
        <v>206</v>
      </c>
      <c r="C181" s="11">
        <v>50.03</v>
      </c>
      <c r="D181" s="11">
        <v>50.03</v>
      </c>
      <c r="E181" s="11">
        <v>47.83</v>
      </c>
      <c r="F181" s="11">
        <v>2.2000000000000002</v>
      </c>
      <c r="G181" s="10">
        <v>9</v>
      </c>
      <c r="H181" s="11">
        <v>200</v>
      </c>
      <c r="I181" s="11">
        <v>48.83</v>
      </c>
      <c r="J181" s="11"/>
      <c r="K181" s="11"/>
      <c r="L181" s="11">
        <v>200</v>
      </c>
      <c r="M181" s="11" t="s">
        <v>207</v>
      </c>
      <c r="N181" s="11">
        <v>48.38</v>
      </c>
      <c r="O181" s="11">
        <v>48.38</v>
      </c>
      <c r="P181" s="11">
        <v>48.83</v>
      </c>
      <c r="Q181" s="11"/>
      <c r="R181" s="11" t="s">
        <v>1221</v>
      </c>
    </row>
    <row r="182" spans="2:18" x14ac:dyDescent="0.3">
      <c r="B182" s="11" t="s">
        <v>208</v>
      </c>
      <c r="C182" s="11">
        <v>50.03</v>
      </c>
      <c r="D182" s="11">
        <v>50.03</v>
      </c>
      <c r="E182" s="11">
        <v>47.83</v>
      </c>
      <c r="F182" s="11">
        <v>2.2000000000000002</v>
      </c>
      <c r="G182" s="10">
        <v>9</v>
      </c>
      <c r="H182" s="11">
        <v>200</v>
      </c>
      <c r="I182" s="11">
        <v>48.83</v>
      </c>
      <c r="J182" s="11"/>
      <c r="K182" s="11"/>
      <c r="L182" s="11">
        <v>200</v>
      </c>
      <c r="M182" s="11" t="s">
        <v>209</v>
      </c>
      <c r="N182" s="11">
        <v>48.37</v>
      </c>
      <c r="O182" s="11">
        <v>48.37</v>
      </c>
      <c r="P182" s="11">
        <v>48.83</v>
      </c>
      <c r="Q182" s="11"/>
      <c r="R182" s="11" t="s">
        <v>1221</v>
      </c>
    </row>
    <row r="183" spans="2:18" x14ac:dyDescent="0.3">
      <c r="B183" s="11" t="s">
        <v>210</v>
      </c>
      <c r="C183" s="11">
        <v>50.43</v>
      </c>
      <c r="D183" s="11">
        <v>50.43</v>
      </c>
      <c r="E183" s="11">
        <v>48.23</v>
      </c>
      <c r="F183" s="11">
        <v>2.2000000000000002</v>
      </c>
      <c r="G183" s="10">
        <v>9</v>
      </c>
      <c r="H183" s="11">
        <v>200</v>
      </c>
      <c r="I183" s="11">
        <v>49.23</v>
      </c>
      <c r="J183" s="11"/>
      <c r="K183" s="11"/>
      <c r="L183" s="11">
        <v>200</v>
      </c>
      <c r="M183" s="11" t="s">
        <v>211</v>
      </c>
      <c r="N183" s="11">
        <v>48.68</v>
      </c>
      <c r="O183" s="11">
        <v>48.68</v>
      </c>
      <c r="P183" s="11">
        <v>49.23</v>
      </c>
      <c r="Q183" s="11"/>
      <c r="R183" s="11" t="s">
        <v>1221</v>
      </c>
    </row>
    <row r="184" spans="2:18" x14ac:dyDescent="0.3">
      <c r="B184" s="11" t="s">
        <v>212</v>
      </c>
      <c r="C184" s="11">
        <v>50.83</v>
      </c>
      <c r="D184" s="11">
        <v>50.83</v>
      </c>
      <c r="E184" s="11">
        <v>48.63</v>
      </c>
      <c r="F184" s="11">
        <v>2.2000000000000002</v>
      </c>
      <c r="G184" s="10">
        <v>9</v>
      </c>
      <c r="H184" s="11">
        <v>200</v>
      </c>
      <c r="I184" s="11">
        <v>49.63</v>
      </c>
      <c r="J184" s="11"/>
      <c r="K184" s="11"/>
      <c r="L184" s="11">
        <v>200</v>
      </c>
      <c r="M184" s="11" t="s">
        <v>213</v>
      </c>
      <c r="N184" s="11">
        <v>49</v>
      </c>
      <c r="O184" s="11">
        <v>49</v>
      </c>
      <c r="P184" s="11">
        <v>49.63</v>
      </c>
      <c r="Q184" s="11"/>
      <c r="R184" s="11" t="s">
        <v>1221</v>
      </c>
    </row>
    <row r="185" spans="2:18" x14ac:dyDescent="0.3">
      <c r="B185" s="11" t="s">
        <v>214</v>
      </c>
      <c r="C185" s="11">
        <v>51.22</v>
      </c>
      <c r="D185" s="11">
        <v>51.22</v>
      </c>
      <c r="E185" s="11">
        <v>49.02</v>
      </c>
      <c r="F185" s="11">
        <v>2.2000000000000002</v>
      </c>
      <c r="G185" s="10">
        <v>9</v>
      </c>
      <c r="H185" s="11">
        <v>200</v>
      </c>
      <c r="I185" s="11">
        <v>50.02</v>
      </c>
      <c r="J185" s="11"/>
      <c r="K185" s="11"/>
      <c r="L185" s="11">
        <v>200</v>
      </c>
      <c r="M185" s="11" t="s">
        <v>215</v>
      </c>
      <c r="N185" s="11">
        <v>49.32</v>
      </c>
      <c r="O185" s="11">
        <v>49.32</v>
      </c>
      <c r="P185" s="11">
        <v>50.02</v>
      </c>
      <c r="Q185" s="11"/>
      <c r="R185" s="11" t="s">
        <v>1221</v>
      </c>
    </row>
    <row r="186" spans="2:18" x14ac:dyDescent="0.3">
      <c r="B186" s="11" t="s">
        <v>216</v>
      </c>
      <c r="C186" s="11">
        <v>51.51</v>
      </c>
      <c r="D186" s="11">
        <v>51.51</v>
      </c>
      <c r="E186" s="11">
        <v>49.31</v>
      </c>
      <c r="F186" s="11">
        <v>2.2000000000000002</v>
      </c>
      <c r="G186" s="10">
        <v>9</v>
      </c>
      <c r="H186" s="11">
        <v>200</v>
      </c>
      <c r="I186" s="11">
        <v>50.31</v>
      </c>
      <c r="J186" s="11"/>
      <c r="K186" s="11"/>
      <c r="L186" s="11">
        <v>200</v>
      </c>
      <c r="M186" s="11" t="s">
        <v>217</v>
      </c>
      <c r="N186" s="11">
        <v>49.59</v>
      </c>
      <c r="O186" s="11">
        <v>49.59</v>
      </c>
      <c r="P186" s="11">
        <v>50.31</v>
      </c>
      <c r="Q186" s="11"/>
      <c r="R186" s="11" t="s">
        <v>1221</v>
      </c>
    </row>
    <row r="187" spans="2:18" x14ac:dyDescent="0.3">
      <c r="B187" s="11" t="s">
        <v>218</v>
      </c>
      <c r="C187" s="11">
        <v>51.69</v>
      </c>
      <c r="D187" s="11">
        <v>51.69</v>
      </c>
      <c r="E187" s="11">
        <v>49.49</v>
      </c>
      <c r="F187" s="11">
        <v>2.2000000000000002</v>
      </c>
      <c r="G187" s="10">
        <v>12.7</v>
      </c>
      <c r="H187" s="11">
        <v>200</v>
      </c>
      <c r="I187" s="11">
        <v>50.49</v>
      </c>
      <c r="J187" s="11"/>
      <c r="K187" s="11"/>
      <c r="L187" s="11">
        <v>200</v>
      </c>
      <c r="M187" s="11" t="s">
        <v>219</v>
      </c>
      <c r="N187" s="11">
        <v>49.42</v>
      </c>
      <c r="O187" s="11">
        <v>49.42</v>
      </c>
      <c r="P187" s="11">
        <v>50.49</v>
      </c>
      <c r="Q187" s="11"/>
      <c r="R187" s="11" t="s">
        <v>1221</v>
      </c>
    </row>
    <row r="188" spans="2:18" x14ac:dyDescent="0.3">
      <c r="B188" s="11" t="s">
        <v>220</v>
      </c>
      <c r="C188" s="11">
        <v>51.55</v>
      </c>
      <c r="D188" s="11">
        <v>51.55</v>
      </c>
      <c r="E188" s="11">
        <v>49.35</v>
      </c>
      <c r="F188" s="11">
        <v>2.2000000000000002</v>
      </c>
      <c r="G188" s="10">
        <v>9</v>
      </c>
      <c r="H188" s="11">
        <v>200</v>
      </c>
      <c r="I188" s="11">
        <v>50.35</v>
      </c>
      <c r="J188" s="11"/>
      <c r="K188" s="11"/>
      <c r="L188" s="11">
        <v>200</v>
      </c>
      <c r="M188" s="11" t="s">
        <v>221</v>
      </c>
      <c r="N188" s="11">
        <v>49.75</v>
      </c>
      <c r="O188" s="11">
        <v>49.75</v>
      </c>
      <c r="P188" s="11">
        <v>50.35</v>
      </c>
      <c r="Q188" s="11"/>
      <c r="R188" s="11" t="s">
        <v>1221</v>
      </c>
    </row>
    <row r="189" spans="2:18" x14ac:dyDescent="0.3">
      <c r="B189" s="11" t="s">
        <v>222</v>
      </c>
      <c r="C189" s="11">
        <v>51.55</v>
      </c>
      <c r="D189" s="11">
        <v>51.55</v>
      </c>
      <c r="E189" s="11">
        <v>49.35</v>
      </c>
      <c r="F189" s="11">
        <v>2.2000000000000002</v>
      </c>
      <c r="G189" s="10">
        <v>9.06</v>
      </c>
      <c r="H189" s="11">
        <v>200</v>
      </c>
      <c r="I189" s="11">
        <v>50.35</v>
      </c>
      <c r="J189" s="11"/>
      <c r="K189" s="11"/>
      <c r="L189" s="11">
        <v>200</v>
      </c>
      <c r="M189" s="11" t="s">
        <v>223</v>
      </c>
      <c r="N189" s="11">
        <v>49.88</v>
      </c>
      <c r="O189" s="11">
        <v>49.88</v>
      </c>
      <c r="P189" s="11">
        <v>50.35</v>
      </c>
      <c r="Q189" s="11"/>
      <c r="R189" s="11" t="s">
        <v>1221</v>
      </c>
    </row>
    <row r="190" spans="2:18" x14ac:dyDescent="0.3">
      <c r="B190" s="11" t="s">
        <v>224</v>
      </c>
      <c r="C190" s="11">
        <v>51.33</v>
      </c>
      <c r="D190" s="11">
        <v>51.33</v>
      </c>
      <c r="E190" s="11">
        <v>49.13</v>
      </c>
      <c r="F190" s="11">
        <v>2.2000000000000002</v>
      </c>
      <c r="G190" s="10">
        <v>9</v>
      </c>
      <c r="H190" s="11">
        <v>200</v>
      </c>
      <c r="I190" s="11">
        <v>50.13</v>
      </c>
      <c r="J190" s="11"/>
      <c r="K190" s="11"/>
      <c r="L190" s="11">
        <v>200</v>
      </c>
      <c r="M190" s="11" t="s">
        <v>225</v>
      </c>
      <c r="N190" s="11">
        <v>49.75</v>
      </c>
      <c r="O190" s="11">
        <v>49.75</v>
      </c>
      <c r="P190" s="11">
        <v>50.13</v>
      </c>
      <c r="Q190" s="11"/>
      <c r="R190" s="11" t="s">
        <v>1221</v>
      </c>
    </row>
    <row r="191" spans="2:18" x14ac:dyDescent="0.3">
      <c r="B191" s="11" t="s">
        <v>226</v>
      </c>
      <c r="C191" s="11">
        <v>51.33</v>
      </c>
      <c r="D191" s="11">
        <v>51.33</v>
      </c>
      <c r="E191" s="11">
        <v>49.13</v>
      </c>
      <c r="F191" s="11">
        <v>2.2000000000000002</v>
      </c>
      <c r="G191" s="10">
        <v>9</v>
      </c>
      <c r="H191" s="11">
        <v>200</v>
      </c>
      <c r="I191" s="11">
        <v>50.13</v>
      </c>
      <c r="J191" s="11"/>
      <c r="K191" s="11"/>
      <c r="L191" s="11">
        <v>200</v>
      </c>
      <c r="M191" s="11" t="s">
        <v>227</v>
      </c>
      <c r="N191" s="11">
        <v>49.68</v>
      </c>
      <c r="O191" s="11">
        <v>49.68</v>
      </c>
      <c r="P191" s="11">
        <v>50.13</v>
      </c>
      <c r="Q191" s="11"/>
      <c r="R191" s="11" t="s">
        <v>1221</v>
      </c>
    </row>
    <row r="192" spans="2:18" x14ac:dyDescent="0.3">
      <c r="B192" s="11" t="s">
        <v>228</v>
      </c>
      <c r="C192" s="11">
        <v>51.19</v>
      </c>
      <c r="D192" s="11">
        <v>51.19</v>
      </c>
      <c r="E192" s="11">
        <v>48.99</v>
      </c>
      <c r="F192" s="11">
        <v>2.2000000000000002</v>
      </c>
      <c r="G192" s="10">
        <v>8.91</v>
      </c>
      <c r="H192" s="11">
        <v>200</v>
      </c>
      <c r="I192" s="11">
        <v>49.99</v>
      </c>
      <c r="J192" s="11"/>
      <c r="K192" s="11"/>
      <c r="L192" s="11">
        <v>200</v>
      </c>
      <c r="M192" s="11" t="s">
        <v>229</v>
      </c>
      <c r="N192" s="11">
        <v>49.58</v>
      </c>
      <c r="O192" s="11">
        <v>49.58</v>
      </c>
      <c r="P192" s="11">
        <v>49.99</v>
      </c>
      <c r="Q192" s="11"/>
      <c r="R192" s="11" t="s">
        <v>1221</v>
      </c>
    </row>
    <row r="193" spans="2:18" x14ac:dyDescent="0.3">
      <c r="B193" s="11" t="s">
        <v>230</v>
      </c>
      <c r="C193" s="11">
        <v>51.29</v>
      </c>
      <c r="D193" s="11">
        <v>51.29</v>
      </c>
      <c r="E193" s="11">
        <v>48.72</v>
      </c>
      <c r="F193" s="11">
        <v>2.57</v>
      </c>
      <c r="G193" s="10">
        <v>9</v>
      </c>
      <c r="H193" s="11">
        <v>200</v>
      </c>
      <c r="I193" s="11">
        <v>49.72</v>
      </c>
      <c r="J193" s="11"/>
      <c r="K193" s="11"/>
      <c r="L193" s="11">
        <v>200</v>
      </c>
      <c r="M193" s="11" t="s">
        <v>231</v>
      </c>
      <c r="N193" s="11">
        <v>49.39</v>
      </c>
      <c r="O193" s="11">
        <v>49.39</v>
      </c>
      <c r="P193" s="11">
        <v>49.72</v>
      </c>
      <c r="Q193" s="11"/>
      <c r="R193" s="11" t="s">
        <v>1221</v>
      </c>
    </row>
    <row r="194" spans="2:18" x14ac:dyDescent="0.3">
      <c r="B194" s="11" t="s">
        <v>232</v>
      </c>
      <c r="C194" s="11">
        <v>51.14</v>
      </c>
      <c r="D194" s="11">
        <v>51.14</v>
      </c>
      <c r="E194" s="11">
        <v>48.94</v>
      </c>
      <c r="F194" s="11">
        <v>2.2000000000000002</v>
      </c>
      <c r="G194" s="10">
        <v>3.63</v>
      </c>
      <c r="H194" s="11">
        <v>200</v>
      </c>
      <c r="I194" s="11">
        <v>49.94</v>
      </c>
      <c r="J194" s="11"/>
      <c r="K194" s="11"/>
      <c r="L194" s="11">
        <v>200</v>
      </c>
      <c r="M194" s="11" t="s">
        <v>233</v>
      </c>
      <c r="N194" s="11">
        <v>49.6</v>
      </c>
      <c r="O194" s="11">
        <v>49.6</v>
      </c>
      <c r="P194" s="11">
        <v>49.94</v>
      </c>
      <c r="Q194" s="11"/>
      <c r="R194" s="11" t="s">
        <v>1221</v>
      </c>
    </row>
    <row r="195" spans="2:18" x14ac:dyDescent="0.3">
      <c r="B195" s="11" t="s">
        <v>234</v>
      </c>
      <c r="C195" s="11">
        <v>51.25</v>
      </c>
      <c r="D195" s="11">
        <v>51.25</v>
      </c>
      <c r="E195" s="11">
        <v>48.78</v>
      </c>
      <c r="F195" s="11">
        <v>2.4700000000000002</v>
      </c>
      <c r="G195" s="10">
        <v>9</v>
      </c>
      <c r="H195" s="11">
        <v>200</v>
      </c>
      <c r="I195" s="11">
        <v>49.78</v>
      </c>
      <c r="J195" s="11"/>
      <c r="K195" s="11"/>
      <c r="L195" s="11">
        <v>200</v>
      </c>
      <c r="M195" s="11" t="s">
        <v>235</v>
      </c>
      <c r="N195" s="11">
        <v>49.44</v>
      </c>
      <c r="O195" s="11">
        <v>49.44</v>
      </c>
      <c r="P195" s="11">
        <v>49.78</v>
      </c>
      <c r="Q195" s="11"/>
      <c r="R195" s="11" t="s">
        <v>1221</v>
      </c>
    </row>
    <row r="196" spans="2:18" x14ac:dyDescent="0.3">
      <c r="B196" s="11" t="s">
        <v>236</v>
      </c>
      <c r="C196" s="11">
        <v>52.52</v>
      </c>
      <c r="D196" s="11">
        <v>52.52</v>
      </c>
      <c r="E196" s="11">
        <v>50.04</v>
      </c>
      <c r="F196" s="11">
        <v>2.48</v>
      </c>
      <c r="G196" s="10">
        <v>9</v>
      </c>
      <c r="H196" s="11">
        <v>200</v>
      </c>
      <c r="I196" s="11">
        <v>51.04</v>
      </c>
      <c r="J196" s="11"/>
      <c r="K196" s="11"/>
      <c r="L196" s="11">
        <v>200</v>
      </c>
      <c r="M196" s="11" t="s">
        <v>237</v>
      </c>
      <c r="N196" s="11">
        <v>50.71</v>
      </c>
      <c r="O196" s="11">
        <v>50.71</v>
      </c>
      <c r="P196" s="11">
        <v>51.04</v>
      </c>
      <c r="Q196" s="11"/>
      <c r="R196" s="11" t="s">
        <v>1221</v>
      </c>
    </row>
    <row r="197" spans="2:18" x14ac:dyDescent="0.3">
      <c r="B197" s="11" t="s">
        <v>238</v>
      </c>
      <c r="C197" s="11">
        <v>52.83</v>
      </c>
      <c r="D197" s="11">
        <v>52.83</v>
      </c>
      <c r="E197" s="11">
        <v>50.31</v>
      </c>
      <c r="F197" s="11">
        <v>2.52</v>
      </c>
      <c r="G197" s="10">
        <v>9</v>
      </c>
      <c r="H197" s="11">
        <v>200</v>
      </c>
      <c r="I197" s="11">
        <v>51.31</v>
      </c>
      <c r="J197" s="11"/>
      <c r="K197" s="11"/>
      <c r="L197" s="11">
        <v>200</v>
      </c>
      <c r="M197" s="11" t="s">
        <v>239</v>
      </c>
      <c r="N197" s="11">
        <v>50.98</v>
      </c>
      <c r="O197" s="11">
        <v>50.98</v>
      </c>
      <c r="P197" s="11">
        <v>51.31</v>
      </c>
      <c r="Q197" s="11"/>
      <c r="R197" s="11" t="s">
        <v>1221</v>
      </c>
    </row>
    <row r="198" spans="2:18" x14ac:dyDescent="0.3">
      <c r="B198" s="11" t="s">
        <v>240</v>
      </c>
      <c r="C198" s="11">
        <v>53.21</v>
      </c>
      <c r="D198" s="11">
        <v>53.21</v>
      </c>
      <c r="E198" s="11">
        <v>51.01</v>
      </c>
      <c r="F198" s="11">
        <v>2.2000000000000002</v>
      </c>
      <c r="G198" s="10">
        <v>9</v>
      </c>
      <c r="H198" s="11">
        <v>200</v>
      </c>
      <c r="I198" s="11">
        <v>52.01</v>
      </c>
      <c r="J198" s="11"/>
      <c r="K198" s="11"/>
      <c r="L198" s="11">
        <v>200</v>
      </c>
      <c r="M198" s="11" t="s">
        <v>241</v>
      </c>
      <c r="N198" s="11">
        <v>51.61</v>
      </c>
      <c r="O198" s="11">
        <v>51.61</v>
      </c>
      <c r="P198" s="11">
        <v>52.01</v>
      </c>
      <c r="Q198" s="11"/>
      <c r="R198" s="11" t="s">
        <v>1221</v>
      </c>
    </row>
    <row r="199" spans="2:18" x14ac:dyDescent="0.3">
      <c r="B199" s="11" t="s">
        <v>242</v>
      </c>
      <c r="C199" s="11">
        <v>53.23</v>
      </c>
      <c r="D199" s="11">
        <v>53.23</v>
      </c>
      <c r="E199" s="11">
        <v>51.03</v>
      </c>
      <c r="F199" s="11">
        <v>2.2000000000000002</v>
      </c>
      <c r="G199" s="10">
        <v>9</v>
      </c>
      <c r="H199" s="11">
        <v>200</v>
      </c>
      <c r="I199" s="11">
        <v>52.03</v>
      </c>
      <c r="J199" s="11"/>
      <c r="K199" s="11"/>
      <c r="L199" s="11">
        <v>200</v>
      </c>
      <c r="M199" s="11" t="s">
        <v>243</v>
      </c>
      <c r="N199" s="11">
        <v>51.65</v>
      </c>
      <c r="O199" s="11">
        <v>51.65</v>
      </c>
      <c r="P199" s="11">
        <v>52.03</v>
      </c>
      <c r="Q199" s="11"/>
      <c r="R199" s="11" t="s">
        <v>1221</v>
      </c>
    </row>
    <row r="200" spans="2:18" x14ac:dyDescent="0.3">
      <c r="B200" s="11" t="s">
        <v>244</v>
      </c>
      <c r="C200" s="11">
        <v>53.82</v>
      </c>
      <c r="D200" s="11">
        <v>53.82</v>
      </c>
      <c r="E200" s="11">
        <v>51.62</v>
      </c>
      <c r="F200" s="11">
        <v>2.2000000000000002</v>
      </c>
      <c r="G200" s="10">
        <v>9.0399999999999991</v>
      </c>
      <c r="H200" s="11">
        <v>200</v>
      </c>
      <c r="I200" s="11">
        <v>52.62</v>
      </c>
      <c r="J200" s="11"/>
      <c r="K200" s="11"/>
      <c r="L200" s="11">
        <v>200</v>
      </c>
      <c r="M200" s="11" t="s">
        <v>245</v>
      </c>
      <c r="N200" s="11">
        <v>52.17</v>
      </c>
      <c r="O200" s="11">
        <v>52.17</v>
      </c>
      <c r="P200" s="11">
        <v>52.62</v>
      </c>
      <c r="Q200" s="11"/>
      <c r="R200" s="11" t="s">
        <v>1221</v>
      </c>
    </row>
    <row r="201" spans="2:18" x14ac:dyDescent="0.3">
      <c r="B201" s="11" t="s">
        <v>246</v>
      </c>
      <c r="C201" s="11">
        <v>53.82</v>
      </c>
      <c r="D201" s="11">
        <v>53.82</v>
      </c>
      <c r="E201" s="11">
        <v>51.62</v>
      </c>
      <c r="F201" s="11">
        <v>2.2000000000000002</v>
      </c>
      <c r="G201" s="10">
        <v>8.99</v>
      </c>
      <c r="H201" s="11">
        <v>200</v>
      </c>
      <c r="I201" s="11">
        <v>52.62</v>
      </c>
      <c r="J201" s="11"/>
      <c r="K201" s="11"/>
      <c r="L201" s="11">
        <v>200</v>
      </c>
      <c r="M201" s="11" t="s">
        <v>247</v>
      </c>
      <c r="N201" s="11">
        <v>52.18</v>
      </c>
      <c r="O201" s="11">
        <v>52.18</v>
      </c>
      <c r="P201" s="11">
        <v>52.62</v>
      </c>
      <c r="Q201" s="11"/>
      <c r="R201" s="11" t="s">
        <v>1221</v>
      </c>
    </row>
    <row r="202" spans="2:18" x14ac:dyDescent="0.3">
      <c r="B202" s="11" t="s">
        <v>248</v>
      </c>
      <c r="C202" s="11">
        <v>54.33</v>
      </c>
      <c r="D202" s="11">
        <v>54.33</v>
      </c>
      <c r="E202" s="11">
        <v>52.13</v>
      </c>
      <c r="F202" s="11">
        <v>2.2000000000000002</v>
      </c>
      <c r="G202" s="10">
        <v>8.9700000000000006</v>
      </c>
      <c r="H202" s="11">
        <v>200</v>
      </c>
      <c r="I202" s="11">
        <v>53.13</v>
      </c>
      <c r="J202" s="11"/>
      <c r="K202" s="11"/>
      <c r="L202" s="11">
        <v>200</v>
      </c>
      <c r="M202" s="11" t="s">
        <v>249</v>
      </c>
      <c r="N202" s="11">
        <v>52.64</v>
      </c>
      <c r="O202" s="11">
        <v>52.64</v>
      </c>
      <c r="P202" s="11">
        <v>53.13</v>
      </c>
      <c r="Q202" s="11"/>
      <c r="R202" s="11" t="s">
        <v>1221</v>
      </c>
    </row>
    <row r="203" spans="2:18" x14ac:dyDescent="0.3">
      <c r="B203" s="11" t="s">
        <v>250</v>
      </c>
      <c r="C203" s="11">
        <v>54.72</v>
      </c>
      <c r="D203" s="11">
        <v>54.72</v>
      </c>
      <c r="E203" s="11">
        <v>52.52</v>
      </c>
      <c r="F203" s="11">
        <v>2.2000000000000002</v>
      </c>
      <c r="G203" s="10">
        <v>8.93</v>
      </c>
      <c r="H203" s="11">
        <v>200</v>
      </c>
      <c r="I203" s="11">
        <v>53.52</v>
      </c>
      <c r="J203" s="11"/>
      <c r="K203" s="11"/>
      <c r="L203" s="11">
        <v>200</v>
      </c>
      <c r="M203" s="11" t="s">
        <v>251</v>
      </c>
      <c r="N203" s="11">
        <v>53</v>
      </c>
      <c r="O203" s="11">
        <v>53</v>
      </c>
      <c r="P203" s="11">
        <v>53.52</v>
      </c>
      <c r="Q203" s="11"/>
      <c r="R203" s="11" t="s">
        <v>1221</v>
      </c>
    </row>
    <row r="204" spans="2:18" x14ac:dyDescent="0.3">
      <c r="B204" s="11" t="s">
        <v>252</v>
      </c>
      <c r="C204" s="11">
        <v>54.33</v>
      </c>
      <c r="D204" s="11">
        <v>54.33</v>
      </c>
      <c r="E204" s="11">
        <v>52.13</v>
      </c>
      <c r="F204" s="11">
        <v>2.2000000000000002</v>
      </c>
      <c r="G204" s="10">
        <v>9</v>
      </c>
      <c r="H204" s="11">
        <v>200</v>
      </c>
      <c r="I204" s="11">
        <v>53.13</v>
      </c>
      <c r="J204" s="11"/>
      <c r="K204" s="11"/>
      <c r="L204" s="11">
        <v>200</v>
      </c>
      <c r="M204" s="11" t="s">
        <v>253</v>
      </c>
      <c r="N204" s="11">
        <v>52.64</v>
      </c>
      <c r="O204" s="11">
        <v>52.64</v>
      </c>
      <c r="P204" s="11">
        <v>53.13</v>
      </c>
      <c r="Q204" s="11"/>
      <c r="R204" s="11" t="s">
        <v>1221</v>
      </c>
    </row>
    <row r="205" spans="2:18" x14ac:dyDescent="0.3">
      <c r="B205" s="11" t="s">
        <v>254</v>
      </c>
      <c r="C205" s="11">
        <v>54.72</v>
      </c>
      <c r="D205" s="11">
        <v>54.72</v>
      </c>
      <c r="E205" s="11">
        <v>52.52</v>
      </c>
      <c r="F205" s="11">
        <v>2.2000000000000002</v>
      </c>
      <c r="G205" s="10">
        <v>9</v>
      </c>
      <c r="H205" s="11">
        <v>200</v>
      </c>
      <c r="I205" s="11">
        <v>53.52</v>
      </c>
      <c r="J205" s="11"/>
      <c r="K205" s="11"/>
      <c r="L205" s="11">
        <v>200</v>
      </c>
      <c r="M205" s="11" t="s">
        <v>255</v>
      </c>
      <c r="N205" s="11">
        <v>52.99</v>
      </c>
      <c r="O205" s="11">
        <v>52.99</v>
      </c>
      <c r="P205" s="11">
        <v>53.52</v>
      </c>
      <c r="Q205" s="11"/>
      <c r="R205" s="11" t="s">
        <v>1221</v>
      </c>
    </row>
    <row r="206" spans="2:18" x14ac:dyDescent="0.3">
      <c r="B206" s="11" t="s">
        <v>256</v>
      </c>
      <c r="C206" s="11">
        <v>54.97</v>
      </c>
      <c r="D206" s="11">
        <v>54.97</v>
      </c>
      <c r="E206" s="11">
        <v>52.77</v>
      </c>
      <c r="F206" s="11">
        <v>2.2000000000000002</v>
      </c>
      <c r="G206" s="10">
        <v>9</v>
      </c>
      <c r="H206" s="11">
        <v>200</v>
      </c>
      <c r="I206" s="11">
        <v>53.77</v>
      </c>
      <c r="J206" s="11"/>
      <c r="K206" s="11"/>
      <c r="L206" s="11">
        <v>200</v>
      </c>
      <c r="M206" s="11" t="s">
        <v>257</v>
      </c>
      <c r="N206" s="11">
        <v>53.21</v>
      </c>
      <c r="O206" s="11">
        <v>53.21</v>
      </c>
      <c r="P206" s="11">
        <v>53.77</v>
      </c>
      <c r="Q206" s="11"/>
      <c r="R206" s="11" t="s">
        <v>1221</v>
      </c>
    </row>
    <row r="207" spans="2:18" x14ac:dyDescent="0.3">
      <c r="B207" s="11" t="s">
        <v>258</v>
      </c>
      <c r="C207" s="11">
        <v>55.18</v>
      </c>
      <c r="D207" s="11">
        <v>55.18</v>
      </c>
      <c r="E207" s="11">
        <v>52.98</v>
      </c>
      <c r="F207" s="11">
        <v>2.2000000000000002</v>
      </c>
      <c r="G207" s="10">
        <v>9</v>
      </c>
      <c r="H207" s="11">
        <v>200</v>
      </c>
      <c r="I207" s="11">
        <v>53.98</v>
      </c>
      <c r="J207" s="11"/>
      <c r="K207" s="11"/>
      <c r="L207" s="11">
        <v>200</v>
      </c>
      <c r="M207" s="11" t="s">
        <v>259</v>
      </c>
      <c r="N207" s="11">
        <v>53.46</v>
      </c>
      <c r="O207" s="11">
        <v>53.46</v>
      </c>
      <c r="P207" s="11">
        <v>53.98</v>
      </c>
      <c r="Q207" s="11"/>
      <c r="R207" s="11" t="s">
        <v>1221</v>
      </c>
    </row>
    <row r="208" spans="2:18" x14ac:dyDescent="0.3">
      <c r="B208" s="11" t="s">
        <v>260</v>
      </c>
      <c r="C208" s="11">
        <v>55.18</v>
      </c>
      <c r="D208" s="11">
        <v>55.18</v>
      </c>
      <c r="E208" s="11">
        <v>52.98</v>
      </c>
      <c r="F208" s="11">
        <v>2.2000000000000002</v>
      </c>
      <c r="G208" s="10">
        <v>9</v>
      </c>
      <c r="H208" s="11">
        <v>200</v>
      </c>
      <c r="I208" s="11">
        <v>53.98</v>
      </c>
      <c r="J208" s="11"/>
      <c r="K208" s="11"/>
      <c r="L208" s="11">
        <v>200</v>
      </c>
      <c r="M208" s="11" t="s">
        <v>261</v>
      </c>
      <c r="N208" s="11">
        <v>53.46</v>
      </c>
      <c r="O208" s="11">
        <v>53.46</v>
      </c>
      <c r="P208" s="11">
        <v>53.98</v>
      </c>
      <c r="Q208" s="11"/>
      <c r="R208" s="11" t="s">
        <v>1221</v>
      </c>
    </row>
    <row r="209" spans="2:18" x14ac:dyDescent="0.3">
      <c r="B209" s="11" t="s">
        <v>262</v>
      </c>
      <c r="C209" s="11">
        <v>55.19</v>
      </c>
      <c r="D209" s="11">
        <v>55.19</v>
      </c>
      <c r="E209" s="11">
        <v>52.99</v>
      </c>
      <c r="F209" s="11">
        <v>2.2000000000000002</v>
      </c>
      <c r="G209" s="10">
        <v>9</v>
      </c>
      <c r="H209" s="11">
        <v>200</v>
      </c>
      <c r="I209" s="11">
        <v>53.99</v>
      </c>
      <c r="J209" s="11"/>
      <c r="K209" s="11"/>
      <c r="L209" s="11">
        <v>200</v>
      </c>
      <c r="M209" s="11" t="s">
        <v>263</v>
      </c>
      <c r="N209" s="11">
        <v>53.54</v>
      </c>
      <c r="O209" s="11">
        <v>53.54</v>
      </c>
      <c r="P209" s="11">
        <v>53.99</v>
      </c>
      <c r="Q209" s="11"/>
      <c r="R209" s="11" t="s">
        <v>1221</v>
      </c>
    </row>
    <row r="210" spans="2:18" x14ac:dyDescent="0.3">
      <c r="B210" s="11" t="s">
        <v>264</v>
      </c>
      <c r="C210" s="11">
        <v>55.11</v>
      </c>
      <c r="D210" s="11">
        <v>55.11</v>
      </c>
      <c r="E210" s="11">
        <v>52.64</v>
      </c>
      <c r="F210" s="11">
        <v>2.4700000000000002</v>
      </c>
      <c r="G210" s="10">
        <v>9</v>
      </c>
      <c r="H210" s="11">
        <v>200</v>
      </c>
      <c r="I210" s="11">
        <v>53.64</v>
      </c>
      <c r="J210" s="11"/>
      <c r="K210" s="11"/>
      <c r="L210" s="11">
        <v>200</v>
      </c>
      <c r="M210" s="11" t="s">
        <v>265</v>
      </c>
      <c r="N210" s="11">
        <v>53.31</v>
      </c>
      <c r="O210" s="11">
        <v>53.31</v>
      </c>
      <c r="P210" s="11">
        <v>53.64</v>
      </c>
      <c r="Q210" s="11"/>
      <c r="R210" s="11" t="s">
        <v>1221</v>
      </c>
    </row>
    <row r="211" spans="2:18" x14ac:dyDescent="0.3">
      <c r="B211" s="11" t="s">
        <v>266</v>
      </c>
      <c r="C211" s="11">
        <v>55.03</v>
      </c>
      <c r="D211" s="11">
        <v>55.03</v>
      </c>
      <c r="E211" s="11">
        <v>52.83</v>
      </c>
      <c r="F211" s="11">
        <v>2.2000000000000002</v>
      </c>
      <c r="G211" s="10">
        <v>9</v>
      </c>
      <c r="H211" s="11">
        <v>200</v>
      </c>
      <c r="I211" s="11">
        <v>53.83</v>
      </c>
      <c r="J211" s="11"/>
      <c r="K211" s="11"/>
      <c r="L211" s="11">
        <v>200</v>
      </c>
      <c r="M211" s="11" t="s">
        <v>267</v>
      </c>
      <c r="N211" s="11">
        <v>53.45</v>
      </c>
      <c r="O211" s="11">
        <v>53.45</v>
      </c>
      <c r="P211" s="11">
        <v>53.83</v>
      </c>
      <c r="Q211" s="11"/>
      <c r="R211" s="11" t="s">
        <v>1221</v>
      </c>
    </row>
    <row r="212" spans="2:18" x14ac:dyDescent="0.3">
      <c r="B212" s="11" t="s">
        <v>268</v>
      </c>
      <c r="C212" s="11">
        <v>55</v>
      </c>
      <c r="D212" s="11">
        <v>55</v>
      </c>
      <c r="E212" s="11">
        <v>52.8</v>
      </c>
      <c r="F212" s="11">
        <v>2.2000000000000002</v>
      </c>
      <c r="G212" s="10">
        <v>9</v>
      </c>
      <c r="H212" s="11">
        <v>200</v>
      </c>
      <c r="I212" s="11">
        <v>53.8</v>
      </c>
      <c r="J212" s="11"/>
      <c r="K212" s="11"/>
      <c r="L212" s="11">
        <v>200</v>
      </c>
      <c r="M212" s="11" t="s">
        <v>269</v>
      </c>
      <c r="N212" s="11">
        <v>53.47</v>
      </c>
      <c r="O212" s="11">
        <v>53.47</v>
      </c>
      <c r="P212" s="11">
        <v>53.8</v>
      </c>
      <c r="Q212" s="11"/>
      <c r="R212" s="11" t="s">
        <v>1221</v>
      </c>
    </row>
    <row r="213" spans="2:18" x14ac:dyDescent="0.3">
      <c r="B213" s="11" t="s">
        <v>270</v>
      </c>
      <c r="C213" s="11">
        <v>56.22</v>
      </c>
      <c r="D213" s="11">
        <v>56.22</v>
      </c>
      <c r="E213" s="11">
        <v>53.72</v>
      </c>
      <c r="F213" s="11">
        <v>2.5</v>
      </c>
      <c r="G213" s="10">
        <v>9</v>
      </c>
      <c r="H213" s="11">
        <v>200</v>
      </c>
      <c r="I213" s="11">
        <v>54.72</v>
      </c>
      <c r="J213" s="11"/>
      <c r="K213" s="11"/>
      <c r="L213" s="11">
        <v>200</v>
      </c>
      <c r="M213" s="11" t="s">
        <v>271</v>
      </c>
      <c r="N213" s="11">
        <v>54.39</v>
      </c>
      <c r="O213" s="11">
        <v>54.39</v>
      </c>
      <c r="P213" s="11">
        <v>54.72</v>
      </c>
      <c r="Q213" s="11"/>
      <c r="R213" s="11" t="s">
        <v>1221</v>
      </c>
    </row>
    <row r="214" spans="2:18" x14ac:dyDescent="0.3">
      <c r="B214" s="11" t="s">
        <v>272</v>
      </c>
      <c r="C214" s="11">
        <v>56.76</v>
      </c>
      <c r="D214" s="11">
        <v>56.76</v>
      </c>
      <c r="E214" s="11">
        <v>54.56</v>
      </c>
      <c r="F214" s="11">
        <v>2.2000000000000002</v>
      </c>
      <c r="G214" s="10">
        <v>8.9600000000000009</v>
      </c>
      <c r="H214" s="11">
        <v>200</v>
      </c>
      <c r="I214" s="11">
        <v>55.56</v>
      </c>
      <c r="J214" s="11"/>
      <c r="K214" s="11"/>
      <c r="L214" s="11">
        <v>200</v>
      </c>
      <c r="M214" s="11" t="s">
        <v>273</v>
      </c>
      <c r="N214" s="11">
        <v>55.18</v>
      </c>
      <c r="O214" s="11">
        <v>55.18</v>
      </c>
      <c r="P214" s="11">
        <v>55.56</v>
      </c>
      <c r="Q214" s="11"/>
      <c r="R214" s="11" t="s">
        <v>1221</v>
      </c>
    </row>
    <row r="215" spans="2:18" x14ac:dyDescent="0.3">
      <c r="B215" s="11" t="s">
        <v>274</v>
      </c>
      <c r="C215" s="11">
        <v>57.17</v>
      </c>
      <c r="D215" s="11">
        <v>57.17</v>
      </c>
      <c r="E215" s="11">
        <v>54.97</v>
      </c>
      <c r="F215" s="11">
        <v>2.2000000000000002</v>
      </c>
      <c r="G215" s="10">
        <v>8.94</v>
      </c>
      <c r="H215" s="11">
        <v>200</v>
      </c>
      <c r="I215" s="11">
        <v>55.97</v>
      </c>
      <c r="J215" s="11"/>
      <c r="K215" s="11"/>
      <c r="L215" s="11">
        <v>200</v>
      </c>
      <c r="M215" s="11" t="s">
        <v>275</v>
      </c>
      <c r="N215" s="11">
        <v>55.56</v>
      </c>
      <c r="O215" s="11">
        <v>55.56</v>
      </c>
      <c r="P215" s="11">
        <v>55.97</v>
      </c>
      <c r="Q215" s="11"/>
      <c r="R215" s="11" t="s">
        <v>1221</v>
      </c>
    </row>
    <row r="216" spans="2:18" x14ac:dyDescent="0.3">
      <c r="B216" s="11" t="s">
        <v>276</v>
      </c>
      <c r="C216" s="11">
        <v>57.57</v>
      </c>
      <c r="D216" s="11">
        <v>57.57</v>
      </c>
      <c r="E216" s="11">
        <v>55.37</v>
      </c>
      <c r="F216" s="11">
        <v>2.2000000000000002</v>
      </c>
      <c r="G216" s="10">
        <v>9</v>
      </c>
      <c r="H216" s="11">
        <v>200</v>
      </c>
      <c r="I216" s="11">
        <v>56.37</v>
      </c>
      <c r="J216" s="11"/>
      <c r="K216" s="11"/>
      <c r="L216" s="11">
        <v>200</v>
      </c>
      <c r="M216" s="11" t="s">
        <v>277</v>
      </c>
      <c r="N216" s="11">
        <v>55.94</v>
      </c>
      <c r="O216" s="11">
        <v>55.94</v>
      </c>
      <c r="P216" s="11">
        <v>56.37</v>
      </c>
      <c r="Q216" s="11"/>
      <c r="R216" s="11" t="s">
        <v>1221</v>
      </c>
    </row>
    <row r="217" spans="2:18" x14ac:dyDescent="0.3">
      <c r="B217" s="11" t="s">
        <v>278</v>
      </c>
      <c r="C217" s="11">
        <v>57.98</v>
      </c>
      <c r="D217" s="11">
        <v>57.98</v>
      </c>
      <c r="E217" s="11">
        <v>55.78</v>
      </c>
      <c r="F217" s="11">
        <v>2.2000000000000002</v>
      </c>
      <c r="G217" s="10">
        <v>9</v>
      </c>
      <c r="H217" s="11">
        <v>200</v>
      </c>
      <c r="I217" s="11">
        <v>56.78</v>
      </c>
      <c r="J217" s="11"/>
      <c r="K217" s="11"/>
      <c r="L217" s="11">
        <v>200</v>
      </c>
      <c r="M217" s="11" t="s">
        <v>279</v>
      </c>
      <c r="N217" s="11">
        <v>56.34</v>
      </c>
      <c r="O217" s="11">
        <v>56.34</v>
      </c>
      <c r="P217" s="11">
        <v>56.78</v>
      </c>
      <c r="Q217" s="11"/>
      <c r="R217" s="11" t="s">
        <v>1221</v>
      </c>
    </row>
    <row r="218" spans="2:18" x14ac:dyDescent="0.3">
      <c r="B218" s="11" t="s">
        <v>280</v>
      </c>
      <c r="C218" s="11">
        <v>58.38</v>
      </c>
      <c r="D218" s="11">
        <v>58.38</v>
      </c>
      <c r="E218" s="11">
        <v>56.18</v>
      </c>
      <c r="F218" s="11">
        <v>2.2000000000000002</v>
      </c>
      <c r="G218" s="10">
        <v>9</v>
      </c>
      <c r="H218" s="11">
        <v>200</v>
      </c>
      <c r="I218" s="11">
        <v>57.18</v>
      </c>
      <c r="J218" s="11"/>
      <c r="K218" s="11"/>
      <c r="L218" s="11">
        <v>200</v>
      </c>
      <c r="M218" s="11" t="s">
        <v>281</v>
      </c>
      <c r="N218" s="11">
        <v>56.71</v>
      </c>
      <c r="O218" s="11">
        <v>56.71</v>
      </c>
      <c r="P218" s="11">
        <v>57.18</v>
      </c>
      <c r="Q218" s="11"/>
      <c r="R218" s="11" t="s">
        <v>1221</v>
      </c>
    </row>
    <row r="219" spans="2:18" x14ac:dyDescent="0.3">
      <c r="B219" s="11" t="s">
        <v>282</v>
      </c>
      <c r="C219" s="11">
        <v>58.78</v>
      </c>
      <c r="D219" s="11">
        <v>58.78</v>
      </c>
      <c r="E219" s="11">
        <v>56.58</v>
      </c>
      <c r="F219" s="11">
        <v>2.2000000000000002</v>
      </c>
      <c r="G219" s="10">
        <v>9</v>
      </c>
      <c r="H219" s="11">
        <v>200</v>
      </c>
      <c r="I219" s="11">
        <v>57.58</v>
      </c>
      <c r="J219" s="11"/>
      <c r="K219" s="11"/>
      <c r="L219" s="11">
        <v>200</v>
      </c>
      <c r="M219" s="11" t="s">
        <v>283</v>
      </c>
      <c r="N219" s="11">
        <v>57.1</v>
      </c>
      <c r="O219" s="11">
        <v>57.1</v>
      </c>
      <c r="P219" s="11">
        <v>57.58</v>
      </c>
      <c r="Q219" s="11"/>
      <c r="R219" s="11" t="s">
        <v>1221</v>
      </c>
    </row>
    <row r="220" spans="2:18" x14ac:dyDescent="0.3">
      <c r="B220" s="11" t="s">
        <v>284</v>
      </c>
      <c r="C220" s="11">
        <v>59.59</v>
      </c>
      <c r="D220" s="11">
        <v>59.59</v>
      </c>
      <c r="E220" s="11">
        <v>57.39</v>
      </c>
      <c r="F220" s="11">
        <v>2.2000000000000002</v>
      </c>
      <c r="G220" s="10">
        <v>9</v>
      </c>
      <c r="H220" s="11">
        <v>200</v>
      </c>
      <c r="I220" s="11">
        <v>58.39</v>
      </c>
      <c r="J220" s="11"/>
      <c r="K220" s="11"/>
      <c r="L220" s="11">
        <v>200</v>
      </c>
      <c r="M220" s="11" t="s">
        <v>285</v>
      </c>
      <c r="N220" s="11">
        <v>57.9</v>
      </c>
      <c r="O220" s="11">
        <v>57.9</v>
      </c>
      <c r="P220" s="11">
        <v>58.39</v>
      </c>
      <c r="Q220" s="11"/>
      <c r="R220" s="11" t="s">
        <v>1221</v>
      </c>
    </row>
    <row r="221" spans="2:18" x14ac:dyDescent="0.3">
      <c r="B221" s="11" t="s">
        <v>286</v>
      </c>
      <c r="C221" s="11">
        <v>60.21</v>
      </c>
      <c r="D221" s="11">
        <v>60.21</v>
      </c>
      <c r="E221" s="11">
        <v>58.01</v>
      </c>
      <c r="F221" s="11">
        <v>2.2000000000000002</v>
      </c>
      <c r="G221" s="10">
        <v>4.33</v>
      </c>
      <c r="H221" s="11">
        <v>200</v>
      </c>
      <c r="I221" s="11">
        <v>59.01</v>
      </c>
      <c r="J221" s="11"/>
      <c r="K221" s="11"/>
      <c r="L221" s="11">
        <v>200</v>
      </c>
      <c r="M221" s="11" t="s">
        <v>287</v>
      </c>
      <c r="N221" s="11">
        <v>58.65</v>
      </c>
      <c r="O221" s="11">
        <v>58.65</v>
      </c>
      <c r="P221" s="11">
        <v>59.01</v>
      </c>
      <c r="Q221" s="11"/>
      <c r="R221" s="11" t="s">
        <v>1221</v>
      </c>
    </row>
    <row r="222" spans="2:18" x14ac:dyDescent="0.3">
      <c r="B222" s="11" t="s">
        <v>288</v>
      </c>
      <c r="C222" s="11">
        <v>60.24</v>
      </c>
      <c r="D222" s="11">
        <v>60.24</v>
      </c>
      <c r="E222" s="11">
        <v>58.04</v>
      </c>
      <c r="F222" s="11">
        <v>2.2000000000000002</v>
      </c>
      <c r="G222" s="10">
        <v>9</v>
      </c>
      <c r="H222" s="11">
        <v>200</v>
      </c>
      <c r="I222" s="11">
        <v>59.04</v>
      </c>
      <c r="J222" s="11"/>
      <c r="K222" s="11"/>
      <c r="L222" s="11">
        <v>200</v>
      </c>
      <c r="M222" s="11" t="s">
        <v>289</v>
      </c>
      <c r="N222" s="11">
        <v>58.58</v>
      </c>
      <c r="O222" s="11">
        <v>58.58</v>
      </c>
      <c r="P222" s="11">
        <v>59.04</v>
      </c>
      <c r="Q222" s="11"/>
      <c r="R222" s="11" t="s">
        <v>1221</v>
      </c>
    </row>
    <row r="223" spans="2:18" x14ac:dyDescent="0.3">
      <c r="B223" s="11" t="s">
        <v>290</v>
      </c>
      <c r="C223" s="11">
        <v>60.33</v>
      </c>
      <c r="D223" s="11">
        <v>60.33</v>
      </c>
      <c r="E223" s="11">
        <v>58.13</v>
      </c>
      <c r="F223" s="11">
        <v>2.2000000000000002</v>
      </c>
      <c r="G223" s="10">
        <v>9</v>
      </c>
      <c r="H223" s="11">
        <v>200</v>
      </c>
      <c r="I223" s="11">
        <v>59.13</v>
      </c>
      <c r="J223" s="11"/>
      <c r="K223" s="11"/>
      <c r="L223" s="11">
        <v>200</v>
      </c>
      <c r="M223" s="11" t="s">
        <v>291</v>
      </c>
      <c r="N223" s="11">
        <v>58.65</v>
      </c>
      <c r="O223" s="11">
        <v>58.65</v>
      </c>
      <c r="P223" s="11">
        <v>59.13</v>
      </c>
      <c r="Q223" s="11"/>
      <c r="R223" s="11" t="s">
        <v>1221</v>
      </c>
    </row>
    <row r="224" spans="2:18" x14ac:dyDescent="0.3">
      <c r="B224" s="11" t="s">
        <v>292</v>
      </c>
      <c r="C224" s="11">
        <v>60.23</v>
      </c>
      <c r="D224" s="11">
        <v>60.23</v>
      </c>
      <c r="E224" s="11">
        <v>57.68</v>
      </c>
      <c r="F224" s="11">
        <v>2.5499999999999998</v>
      </c>
      <c r="G224" s="10">
        <v>9</v>
      </c>
      <c r="H224" s="11">
        <v>200</v>
      </c>
      <c r="I224" s="11">
        <v>58.68</v>
      </c>
      <c r="J224" s="11"/>
      <c r="K224" s="11"/>
      <c r="L224" s="11">
        <v>200</v>
      </c>
      <c r="M224" s="11" t="s">
        <v>293</v>
      </c>
      <c r="N224" s="11">
        <v>58.34</v>
      </c>
      <c r="O224" s="11">
        <v>58.34</v>
      </c>
      <c r="P224" s="11">
        <v>58.68</v>
      </c>
      <c r="Q224" s="11"/>
      <c r="R224" s="11" t="s">
        <v>1221</v>
      </c>
    </row>
    <row r="225" spans="2:18" x14ac:dyDescent="0.3">
      <c r="B225" s="11" t="s">
        <v>294</v>
      </c>
      <c r="C225" s="11">
        <v>60.33</v>
      </c>
      <c r="D225" s="11">
        <v>60.33</v>
      </c>
      <c r="E225" s="11">
        <v>58.13</v>
      </c>
      <c r="F225" s="11">
        <v>2.2000000000000002</v>
      </c>
      <c r="G225" s="10">
        <v>9.1199999999999992</v>
      </c>
      <c r="H225" s="11">
        <v>200</v>
      </c>
      <c r="I225" s="11">
        <v>59.13</v>
      </c>
      <c r="J225" s="11"/>
      <c r="K225" s="11"/>
      <c r="L225" s="11">
        <v>200</v>
      </c>
      <c r="M225" s="11" t="s">
        <v>295</v>
      </c>
      <c r="N225" s="11">
        <v>58.75</v>
      </c>
      <c r="O225" s="11">
        <v>58.75</v>
      </c>
      <c r="P225" s="11">
        <v>59.13</v>
      </c>
      <c r="Q225" s="11"/>
      <c r="R225" s="11" t="s">
        <v>1221</v>
      </c>
    </row>
    <row r="226" spans="2:18" x14ac:dyDescent="0.3">
      <c r="B226" s="11" t="s">
        <v>296</v>
      </c>
      <c r="C226" s="11">
        <v>60.49</v>
      </c>
      <c r="D226" s="11">
        <v>60.49</v>
      </c>
      <c r="E226" s="11">
        <v>58.29</v>
      </c>
      <c r="F226" s="11">
        <v>2.2000000000000002</v>
      </c>
      <c r="G226" s="10">
        <v>9</v>
      </c>
      <c r="H226" s="11">
        <v>200</v>
      </c>
      <c r="I226" s="11">
        <v>59.29</v>
      </c>
      <c r="J226" s="11"/>
      <c r="K226" s="11"/>
      <c r="L226" s="11">
        <v>200</v>
      </c>
      <c r="M226" s="11" t="s">
        <v>297</v>
      </c>
      <c r="N226" s="11">
        <v>58.77</v>
      </c>
      <c r="O226" s="11">
        <v>58.77</v>
      </c>
      <c r="P226" s="11">
        <v>59.29</v>
      </c>
      <c r="Q226" s="11"/>
      <c r="R226" s="11" t="s">
        <v>1221</v>
      </c>
    </row>
    <row r="227" spans="2:18" x14ac:dyDescent="0.3">
      <c r="B227" s="11" t="s">
        <v>298</v>
      </c>
      <c r="C227" s="11">
        <v>60.49</v>
      </c>
      <c r="D227" s="11">
        <v>60.49</v>
      </c>
      <c r="E227" s="11">
        <v>58.29</v>
      </c>
      <c r="F227" s="11">
        <v>2.2000000000000002</v>
      </c>
      <c r="G227" s="10">
        <v>9</v>
      </c>
      <c r="H227" s="11">
        <v>200</v>
      </c>
      <c r="I227" s="11">
        <v>59.29</v>
      </c>
      <c r="J227" s="11"/>
      <c r="K227" s="11"/>
      <c r="L227" s="11">
        <v>200</v>
      </c>
      <c r="M227" s="11" t="s">
        <v>299</v>
      </c>
      <c r="N227" s="11">
        <v>58.87</v>
      </c>
      <c r="O227" s="11">
        <v>58.87</v>
      </c>
      <c r="P227" s="11">
        <v>59.29</v>
      </c>
      <c r="Q227" s="11"/>
      <c r="R227" s="11" t="s">
        <v>1221</v>
      </c>
    </row>
    <row r="228" spans="2:18" x14ac:dyDescent="0.3">
      <c r="B228" s="11" t="s">
        <v>300</v>
      </c>
      <c r="C228" s="11">
        <v>60.71</v>
      </c>
      <c r="D228" s="11">
        <v>60.71</v>
      </c>
      <c r="E228" s="11">
        <v>58.51</v>
      </c>
      <c r="F228" s="11">
        <v>2.2000000000000002</v>
      </c>
      <c r="G228" s="10">
        <v>8.93</v>
      </c>
      <c r="H228" s="11">
        <v>200</v>
      </c>
      <c r="I228" s="11">
        <v>59.51</v>
      </c>
      <c r="J228" s="11"/>
      <c r="K228" s="11"/>
      <c r="L228" s="11">
        <v>200</v>
      </c>
      <c r="M228" s="11" t="s">
        <v>301</v>
      </c>
      <c r="N228" s="11">
        <v>58.96</v>
      </c>
      <c r="O228" s="11">
        <v>58.96</v>
      </c>
      <c r="P228" s="11">
        <v>59.51</v>
      </c>
      <c r="Q228" s="11"/>
      <c r="R228" s="11" t="s">
        <v>1221</v>
      </c>
    </row>
    <row r="229" spans="2:18" x14ac:dyDescent="0.3">
      <c r="B229" s="11" t="s">
        <v>302</v>
      </c>
      <c r="C229" s="11">
        <v>60.71</v>
      </c>
      <c r="D229" s="11">
        <v>60.71</v>
      </c>
      <c r="E229" s="11">
        <v>58.51</v>
      </c>
      <c r="F229" s="11">
        <v>2.2000000000000002</v>
      </c>
      <c r="G229" s="10">
        <v>9</v>
      </c>
      <c r="H229" s="11">
        <v>200</v>
      </c>
      <c r="I229" s="11">
        <v>59.51</v>
      </c>
      <c r="J229" s="11"/>
      <c r="K229" s="11"/>
      <c r="L229" s="11">
        <v>200</v>
      </c>
      <c r="M229" s="11" t="s">
        <v>303</v>
      </c>
      <c r="N229" s="11">
        <v>59.04</v>
      </c>
      <c r="O229" s="11">
        <v>59.04</v>
      </c>
      <c r="P229" s="11">
        <v>59.51</v>
      </c>
      <c r="Q229" s="11"/>
      <c r="R229" s="11" t="s">
        <v>1221</v>
      </c>
    </row>
    <row r="230" spans="2:18" x14ac:dyDescent="0.3">
      <c r="B230" s="11" t="s">
        <v>304</v>
      </c>
      <c r="C230" s="11">
        <v>60.85</v>
      </c>
      <c r="D230" s="11">
        <v>60.85</v>
      </c>
      <c r="E230" s="11">
        <v>58.65</v>
      </c>
      <c r="F230" s="11">
        <v>2.2000000000000002</v>
      </c>
      <c r="G230" s="10">
        <v>9.06</v>
      </c>
      <c r="H230" s="11">
        <v>200</v>
      </c>
      <c r="I230" s="11">
        <v>59.65</v>
      </c>
      <c r="J230" s="11"/>
      <c r="K230" s="11"/>
      <c r="L230" s="11">
        <v>200</v>
      </c>
      <c r="M230" s="11" t="s">
        <v>305</v>
      </c>
      <c r="N230" s="11">
        <v>59.06</v>
      </c>
      <c r="O230" s="11">
        <v>59.06</v>
      </c>
      <c r="P230" s="11">
        <v>59.65</v>
      </c>
      <c r="Q230" s="11"/>
      <c r="R230" s="11" t="s">
        <v>1221</v>
      </c>
    </row>
    <row r="231" spans="2:18" x14ac:dyDescent="0.3">
      <c r="B231" s="11" t="s">
        <v>306</v>
      </c>
      <c r="C231" s="11">
        <v>60.86</v>
      </c>
      <c r="D231" s="11">
        <v>60.86</v>
      </c>
      <c r="E231" s="11">
        <v>58.66</v>
      </c>
      <c r="F231" s="11">
        <v>2.2000000000000002</v>
      </c>
      <c r="G231" s="10">
        <v>9.0399999999999991</v>
      </c>
      <c r="H231" s="11">
        <v>200</v>
      </c>
      <c r="I231" s="11">
        <v>59.66</v>
      </c>
      <c r="J231" s="11"/>
      <c r="K231" s="11"/>
      <c r="L231" s="11">
        <v>200</v>
      </c>
      <c r="M231" s="11" t="s">
        <v>307</v>
      </c>
      <c r="N231" s="11">
        <v>59.14</v>
      </c>
      <c r="O231" s="11">
        <v>59.14</v>
      </c>
      <c r="P231" s="11">
        <v>59.66</v>
      </c>
      <c r="Q231" s="11"/>
      <c r="R231" s="11" t="s">
        <v>1221</v>
      </c>
    </row>
    <row r="232" spans="2:18" x14ac:dyDescent="0.3">
      <c r="B232" s="11" t="s">
        <v>308</v>
      </c>
      <c r="C232" s="11">
        <v>60.71</v>
      </c>
      <c r="D232" s="11">
        <v>60.71</v>
      </c>
      <c r="E232" s="11">
        <v>58.51</v>
      </c>
      <c r="F232" s="11">
        <v>2.2000000000000002</v>
      </c>
      <c r="G232" s="10">
        <v>9</v>
      </c>
      <c r="H232" s="11">
        <v>200</v>
      </c>
      <c r="I232" s="11">
        <v>59.51</v>
      </c>
      <c r="J232" s="11"/>
      <c r="K232" s="11"/>
      <c r="L232" s="11">
        <v>200</v>
      </c>
      <c r="M232" s="11" t="s">
        <v>309</v>
      </c>
      <c r="N232" s="11">
        <v>59.03</v>
      </c>
      <c r="O232" s="11">
        <v>59.03</v>
      </c>
      <c r="P232" s="11">
        <v>59.51</v>
      </c>
      <c r="Q232" s="11"/>
      <c r="R232" s="11" t="s">
        <v>1221</v>
      </c>
    </row>
    <row r="233" spans="2:18" x14ac:dyDescent="0.3">
      <c r="B233" s="11" t="s">
        <v>310</v>
      </c>
      <c r="C233" s="11">
        <v>60.71</v>
      </c>
      <c r="D233" s="11">
        <v>60.71</v>
      </c>
      <c r="E233" s="11">
        <v>58.51</v>
      </c>
      <c r="F233" s="11">
        <v>2.2000000000000002</v>
      </c>
      <c r="G233" s="10">
        <v>9</v>
      </c>
      <c r="H233" s="11">
        <v>200</v>
      </c>
      <c r="I233" s="11">
        <v>59.51</v>
      </c>
      <c r="J233" s="11"/>
      <c r="K233" s="11"/>
      <c r="L233" s="11">
        <v>200</v>
      </c>
      <c r="M233" s="11" t="s">
        <v>311</v>
      </c>
      <c r="N233" s="11">
        <v>59.02</v>
      </c>
      <c r="O233" s="11">
        <v>59.02</v>
      </c>
      <c r="P233" s="11">
        <v>59.51</v>
      </c>
      <c r="Q233" s="11"/>
      <c r="R233" s="11" t="s">
        <v>1221</v>
      </c>
    </row>
    <row r="234" spans="2:18" x14ac:dyDescent="0.3">
      <c r="B234" s="11" t="s">
        <v>312</v>
      </c>
      <c r="C234" s="11">
        <v>60.46</v>
      </c>
      <c r="D234" s="11">
        <v>60.46</v>
      </c>
      <c r="E234" s="11">
        <v>58.26</v>
      </c>
      <c r="F234" s="11">
        <v>2.2000000000000002</v>
      </c>
      <c r="G234" s="10">
        <v>9</v>
      </c>
      <c r="H234" s="11">
        <v>200</v>
      </c>
      <c r="I234" s="11">
        <v>59.26</v>
      </c>
      <c r="J234" s="11"/>
      <c r="K234" s="11"/>
      <c r="L234" s="11">
        <v>200</v>
      </c>
      <c r="M234" s="11" t="s">
        <v>313</v>
      </c>
      <c r="N234" s="11">
        <v>58.82</v>
      </c>
      <c r="O234" s="11">
        <v>58.82</v>
      </c>
      <c r="P234" s="11">
        <v>59.26</v>
      </c>
      <c r="Q234" s="11"/>
      <c r="R234" s="11" t="s">
        <v>1221</v>
      </c>
    </row>
    <row r="235" spans="2:18" x14ac:dyDescent="0.3">
      <c r="B235" s="11" t="s">
        <v>314</v>
      </c>
      <c r="C235" s="11">
        <v>60.46</v>
      </c>
      <c r="D235" s="11">
        <v>60.46</v>
      </c>
      <c r="E235" s="11">
        <v>58.26</v>
      </c>
      <c r="F235" s="11">
        <v>2.2000000000000002</v>
      </c>
      <c r="G235" s="10">
        <v>9.07</v>
      </c>
      <c r="H235" s="11">
        <v>200</v>
      </c>
      <c r="I235" s="11">
        <v>59.26</v>
      </c>
      <c r="J235" s="11"/>
      <c r="K235" s="11"/>
      <c r="L235" s="11">
        <v>200</v>
      </c>
      <c r="M235" s="11" t="s">
        <v>315</v>
      </c>
      <c r="N235" s="11">
        <v>58.82</v>
      </c>
      <c r="O235" s="11">
        <v>58.82</v>
      </c>
      <c r="P235" s="11">
        <v>59.26</v>
      </c>
      <c r="Q235" s="11"/>
      <c r="R235" s="11" t="s">
        <v>1221</v>
      </c>
    </row>
    <row r="236" spans="2:18" x14ac:dyDescent="0.3">
      <c r="B236" s="11" t="s">
        <v>316</v>
      </c>
      <c r="C236" s="11">
        <v>60.11</v>
      </c>
      <c r="D236" s="11">
        <v>60.11</v>
      </c>
      <c r="E236" s="11">
        <v>57.91</v>
      </c>
      <c r="F236" s="11">
        <v>2.2000000000000002</v>
      </c>
      <c r="G236" s="10">
        <v>9</v>
      </c>
      <c r="H236" s="11">
        <v>200</v>
      </c>
      <c r="I236" s="11">
        <v>58.91</v>
      </c>
      <c r="J236" s="11"/>
      <c r="K236" s="11"/>
      <c r="L236" s="11">
        <v>200</v>
      </c>
      <c r="M236" s="11" t="s">
        <v>317</v>
      </c>
      <c r="N236" s="11">
        <v>58.53</v>
      </c>
      <c r="O236" s="11">
        <v>58.53</v>
      </c>
      <c r="P236" s="11">
        <v>58.91</v>
      </c>
      <c r="Q236" s="11"/>
      <c r="R236" s="11" t="s">
        <v>1221</v>
      </c>
    </row>
    <row r="237" spans="2:18" x14ac:dyDescent="0.3">
      <c r="B237" s="11" t="s">
        <v>318</v>
      </c>
      <c r="C237" s="11">
        <v>60.11</v>
      </c>
      <c r="D237" s="11">
        <v>60.11</v>
      </c>
      <c r="E237" s="11">
        <v>57.91</v>
      </c>
      <c r="F237" s="11">
        <v>2.2000000000000002</v>
      </c>
      <c r="G237" s="10">
        <v>9</v>
      </c>
      <c r="H237" s="11">
        <v>200</v>
      </c>
      <c r="I237" s="11">
        <v>58.91</v>
      </c>
      <c r="J237" s="11"/>
      <c r="K237" s="11"/>
      <c r="L237" s="11">
        <v>200</v>
      </c>
      <c r="M237" s="11" t="s">
        <v>319</v>
      </c>
      <c r="N237" s="11">
        <v>58.53</v>
      </c>
      <c r="O237" s="11">
        <v>58.53</v>
      </c>
      <c r="P237" s="11">
        <v>58.91</v>
      </c>
      <c r="Q237" s="11"/>
      <c r="R237" s="11" t="s">
        <v>1221</v>
      </c>
    </row>
    <row r="238" spans="2:18" x14ac:dyDescent="0.3">
      <c r="B238" s="11" t="s">
        <v>320</v>
      </c>
      <c r="C238" s="11">
        <v>59.7</v>
      </c>
      <c r="D238" s="11">
        <v>59.7</v>
      </c>
      <c r="E238" s="11">
        <v>57.27</v>
      </c>
      <c r="F238" s="11">
        <v>2.4300000000000002</v>
      </c>
      <c r="G238" s="10">
        <v>9</v>
      </c>
      <c r="H238" s="11">
        <v>200</v>
      </c>
      <c r="I238" s="11">
        <v>58.27</v>
      </c>
      <c r="J238" s="11"/>
      <c r="K238" s="11"/>
      <c r="L238" s="11">
        <v>200</v>
      </c>
      <c r="M238" s="11" t="s">
        <v>321</v>
      </c>
      <c r="N238" s="11">
        <v>57.95</v>
      </c>
      <c r="O238" s="11">
        <v>57.95</v>
      </c>
      <c r="P238" s="11">
        <v>58.27</v>
      </c>
      <c r="Q238" s="11"/>
      <c r="R238" s="11" t="s">
        <v>1221</v>
      </c>
    </row>
    <row r="239" spans="2:18" x14ac:dyDescent="0.3">
      <c r="B239" s="11" t="s">
        <v>322</v>
      </c>
      <c r="C239" s="11">
        <v>59.64</v>
      </c>
      <c r="D239" s="11">
        <v>59.64</v>
      </c>
      <c r="E239" s="11">
        <v>57.28</v>
      </c>
      <c r="F239" s="11">
        <v>2.36</v>
      </c>
      <c r="G239" s="10">
        <v>9</v>
      </c>
      <c r="H239" s="11">
        <v>200</v>
      </c>
      <c r="I239" s="11">
        <v>58.28</v>
      </c>
      <c r="J239" s="11"/>
      <c r="K239" s="11"/>
      <c r="L239" s="11">
        <v>200</v>
      </c>
      <c r="M239" s="11" t="s">
        <v>323</v>
      </c>
      <c r="N239" s="11">
        <v>57.97</v>
      </c>
      <c r="O239" s="11">
        <v>57.97</v>
      </c>
      <c r="P239" s="11">
        <v>58.28</v>
      </c>
      <c r="Q239" s="11"/>
      <c r="R239" s="11" t="s">
        <v>1221</v>
      </c>
    </row>
    <row r="240" spans="2:18" x14ac:dyDescent="0.3">
      <c r="B240" s="15" t="s">
        <v>324</v>
      </c>
      <c r="C240" s="15">
        <v>65.02</v>
      </c>
      <c r="D240" s="15">
        <v>65.02</v>
      </c>
      <c r="E240" s="15">
        <v>62.82</v>
      </c>
      <c r="F240" s="15">
        <v>2.2000000000000002</v>
      </c>
      <c r="G240" s="15">
        <v>7.04</v>
      </c>
      <c r="H240" s="15">
        <v>200</v>
      </c>
      <c r="I240" s="15">
        <v>63.82</v>
      </c>
      <c r="J240" s="15"/>
      <c r="K240" s="15"/>
      <c r="L240" s="15">
        <v>200</v>
      </c>
      <c r="M240" s="15" t="s">
        <v>325</v>
      </c>
      <c r="N240" s="15">
        <v>63.4</v>
      </c>
      <c r="O240" s="15">
        <v>63.4</v>
      </c>
      <c r="P240" s="15">
        <v>63.82</v>
      </c>
      <c r="Q240" s="15"/>
      <c r="R240" s="11" t="s">
        <v>1221</v>
      </c>
    </row>
    <row r="241" spans="2:18" x14ac:dyDescent="0.3">
      <c r="B241" s="15" t="s">
        <v>326</v>
      </c>
      <c r="C241" s="15">
        <v>67.37</v>
      </c>
      <c r="D241" s="15">
        <v>67.37</v>
      </c>
      <c r="E241" s="15">
        <v>65.17</v>
      </c>
      <c r="F241" s="15">
        <v>2.2000000000000002</v>
      </c>
      <c r="G241" s="15">
        <v>9</v>
      </c>
      <c r="H241" s="15">
        <v>200</v>
      </c>
      <c r="I241" s="15">
        <v>66.17</v>
      </c>
      <c r="J241" s="15"/>
      <c r="K241" s="15"/>
      <c r="L241" s="15">
        <v>200</v>
      </c>
      <c r="M241" s="15" t="s">
        <v>327</v>
      </c>
      <c r="N241" s="15">
        <v>65.599999999999994</v>
      </c>
      <c r="O241" s="15">
        <v>65.599999999999994</v>
      </c>
      <c r="P241" s="15">
        <v>66.17</v>
      </c>
      <c r="Q241" s="15"/>
      <c r="R241" s="11" t="s">
        <v>1221</v>
      </c>
    </row>
    <row r="242" spans="2:18" x14ac:dyDescent="0.3">
      <c r="B242" s="15" t="s">
        <v>328</v>
      </c>
      <c r="C242" s="15">
        <v>67.78</v>
      </c>
      <c r="D242" s="15">
        <v>67.78</v>
      </c>
      <c r="E242" s="15">
        <v>65.58</v>
      </c>
      <c r="F242" s="15">
        <v>2.2000000000000002</v>
      </c>
      <c r="G242" s="15">
        <v>9</v>
      </c>
      <c r="H242" s="15">
        <v>200</v>
      </c>
      <c r="I242" s="15">
        <v>66.58</v>
      </c>
      <c r="J242" s="15"/>
      <c r="K242" s="15"/>
      <c r="L242" s="15">
        <v>200</v>
      </c>
      <c r="M242" s="15" t="s">
        <v>329</v>
      </c>
      <c r="N242" s="15">
        <v>66.12</v>
      </c>
      <c r="O242" s="15">
        <v>66.12</v>
      </c>
      <c r="P242" s="15">
        <v>66.58</v>
      </c>
      <c r="Q242" s="15"/>
      <c r="R242" s="11" t="s">
        <v>1221</v>
      </c>
    </row>
    <row r="243" spans="2:18" x14ac:dyDescent="0.3">
      <c r="B243" s="15" t="s">
        <v>330</v>
      </c>
      <c r="C243" s="15">
        <v>68.819999999999993</v>
      </c>
      <c r="D243" s="15">
        <v>68.819999999999993</v>
      </c>
      <c r="E243" s="15">
        <v>66.38</v>
      </c>
      <c r="F243" s="15">
        <v>2.44</v>
      </c>
      <c r="G243" s="15">
        <v>9</v>
      </c>
      <c r="H243" s="15">
        <v>200</v>
      </c>
      <c r="I243" s="15">
        <v>67.38</v>
      </c>
      <c r="J243" s="15"/>
      <c r="K243" s="15"/>
      <c r="L243" s="15">
        <v>200</v>
      </c>
      <c r="M243" s="15" t="s">
        <v>331</v>
      </c>
      <c r="N243" s="15">
        <v>66.77</v>
      </c>
      <c r="O243" s="15">
        <v>66.77</v>
      </c>
      <c r="P243" s="15">
        <v>67.38</v>
      </c>
      <c r="Q243" s="15"/>
      <c r="R243" s="11" t="s">
        <v>1221</v>
      </c>
    </row>
    <row r="244" spans="2:18" x14ac:dyDescent="0.3">
      <c r="B244" s="15" t="s">
        <v>332</v>
      </c>
      <c r="C244" s="15">
        <v>68.849999999999994</v>
      </c>
      <c r="D244" s="15">
        <v>68.849999999999994</v>
      </c>
      <c r="E244" s="15">
        <v>66.650000000000006</v>
      </c>
      <c r="F244" s="15">
        <v>2.2000000000000002</v>
      </c>
      <c r="G244" s="15">
        <v>9</v>
      </c>
      <c r="H244" s="15">
        <v>200</v>
      </c>
      <c r="I244" s="15">
        <v>67.650000000000006</v>
      </c>
      <c r="J244" s="15"/>
      <c r="K244" s="15"/>
      <c r="L244" s="15">
        <v>200</v>
      </c>
      <c r="M244" s="15" t="s">
        <v>333</v>
      </c>
      <c r="N244" s="15">
        <v>67.08</v>
      </c>
      <c r="O244" s="15">
        <v>67.08</v>
      </c>
      <c r="P244" s="15">
        <v>67.650000000000006</v>
      </c>
      <c r="Q244" s="15"/>
      <c r="R244" s="11" t="s">
        <v>1221</v>
      </c>
    </row>
    <row r="245" spans="2:18" x14ac:dyDescent="0.3">
      <c r="B245" s="15" t="s">
        <v>334</v>
      </c>
      <c r="C245" s="15">
        <v>70.36</v>
      </c>
      <c r="D245" s="15">
        <v>70.36</v>
      </c>
      <c r="E245" s="15">
        <v>68.16</v>
      </c>
      <c r="F245" s="15">
        <v>2.2000000000000002</v>
      </c>
      <c r="G245" s="15">
        <v>9</v>
      </c>
      <c r="H245" s="15">
        <v>200</v>
      </c>
      <c r="I245" s="15">
        <v>69.16</v>
      </c>
      <c r="J245" s="15"/>
      <c r="K245" s="15"/>
      <c r="L245" s="15">
        <v>200</v>
      </c>
      <c r="M245" s="15" t="s">
        <v>335</v>
      </c>
      <c r="N245" s="15">
        <v>68.489999999999995</v>
      </c>
      <c r="O245" s="15">
        <v>68.489999999999995</v>
      </c>
      <c r="P245" s="15">
        <v>69.16</v>
      </c>
      <c r="Q245" s="15"/>
      <c r="R245" s="11" t="s">
        <v>1221</v>
      </c>
    </row>
    <row r="246" spans="2:18" x14ac:dyDescent="0.3">
      <c r="B246" s="15" t="s">
        <v>336</v>
      </c>
      <c r="C246" s="15">
        <v>70.36</v>
      </c>
      <c r="D246" s="15">
        <v>70.36</v>
      </c>
      <c r="E246" s="15">
        <v>68.16</v>
      </c>
      <c r="F246" s="15">
        <v>2.2000000000000002</v>
      </c>
      <c r="G246" s="15">
        <v>9.02</v>
      </c>
      <c r="H246" s="15">
        <v>200</v>
      </c>
      <c r="I246" s="15">
        <v>69.16</v>
      </c>
      <c r="J246" s="15"/>
      <c r="K246" s="15"/>
      <c r="L246" s="15">
        <v>200</v>
      </c>
      <c r="M246" s="15" t="s">
        <v>337</v>
      </c>
      <c r="N246" s="15">
        <v>68.61</v>
      </c>
      <c r="O246" s="15">
        <v>68.61</v>
      </c>
      <c r="P246" s="15">
        <v>69.16</v>
      </c>
      <c r="Q246" s="15"/>
      <c r="R246" s="11" t="s">
        <v>1221</v>
      </c>
    </row>
    <row r="247" spans="2:18" x14ac:dyDescent="0.3">
      <c r="B247" s="15" t="s">
        <v>338</v>
      </c>
      <c r="C247" s="15">
        <v>71.87</v>
      </c>
      <c r="D247" s="15">
        <v>71.87</v>
      </c>
      <c r="E247" s="15">
        <v>69.67</v>
      </c>
      <c r="F247" s="15">
        <v>2.2000000000000002</v>
      </c>
      <c r="G247" s="15">
        <v>9</v>
      </c>
      <c r="H247" s="15">
        <v>200</v>
      </c>
      <c r="I247" s="15">
        <v>70.67</v>
      </c>
      <c r="J247" s="15"/>
      <c r="K247" s="15"/>
      <c r="L247" s="15">
        <v>200</v>
      </c>
      <c r="M247" s="15" t="s">
        <v>339</v>
      </c>
      <c r="N247" s="15">
        <v>69.91</v>
      </c>
      <c r="O247" s="15">
        <v>69.91</v>
      </c>
      <c r="P247" s="15">
        <v>70.67</v>
      </c>
      <c r="Q247" s="15"/>
      <c r="R247" s="11" t="s">
        <v>1221</v>
      </c>
    </row>
    <row r="248" spans="2:18" x14ac:dyDescent="0.3">
      <c r="B248" s="15" t="s">
        <v>340</v>
      </c>
      <c r="C248" s="15">
        <v>71.86</v>
      </c>
      <c r="D248" s="15">
        <v>71.86</v>
      </c>
      <c r="E248" s="15">
        <v>69.66</v>
      </c>
      <c r="F248" s="15">
        <v>2.2000000000000002</v>
      </c>
      <c r="G248" s="15">
        <v>9</v>
      </c>
      <c r="H248" s="15">
        <v>200</v>
      </c>
      <c r="I248" s="15">
        <v>70.66</v>
      </c>
      <c r="J248" s="15"/>
      <c r="K248" s="15"/>
      <c r="L248" s="15">
        <v>200</v>
      </c>
      <c r="M248" s="15" t="s">
        <v>341</v>
      </c>
      <c r="N248" s="15">
        <v>70.069999999999993</v>
      </c>
      <c r="O248" s="15">
        <v>70.069999999999993</v>
      </c>
      <c r="P248" s="15">
        <v>70.66</v>
      </c>
      <c r="Q248" s="15"/>
      <c r="R248" s="11" t="s">
        <v>1221</v>
      </c>
    </row>
    <row r="249" spans="2:18" x14ac:dyDescent="0.3">
      <c r="B249" s="15" t="s">
        <v>342</v>
      </c>
      <c r="C249" s="15">
        <v>73.349999999999994</v>
      </c>
      <c r="D249" s="15">
        <v>73.349999999999994</v>
      </c>
      <c r="E249" s="15">
        <v>71.150000000000006</v>
      </c>
      <c r="F249" s="15">
        <v>2.2000000000000002</v>
      </c>
      <c r="G249" s="15">
        <v>8.99</v>
      </c>
      <c r="H249" s="15">
        <v>200</v>
      </c>
      <c r="I249" s="15">
        <v>72.150000000000006</v>
      </c>
      <c r="J249" s="15"/>
      <c r="K249" s="15"/>
      <c r="L249" s="15">
        <v>200</v>
      </c>
      <c r="M249" s="15" t="s">
        <v>343</v>
      </c>
      <c r="N249" s="15">
        <v>71.349999999999994</v>
      </c>
      <c r="O249" s="15">
        <v>71.349999999999994</v>
      </c>
      <c r="P249" s="15">
        <v>72.150000000000006</v>
      </c>
      <c r="Q249" s="15"/>
      <c r="R249" s="11" t="s">
        <v>1221</v>
      </c>
    </row>
    <row r="250" spans="2:18" x14ac:dyDescent="0.3">
      <c r="B250" s="15" t="s">
        <v>344</v>
      </c>
      <c r="C250" s="15">
        <v>73.430000000000007</v>
      </c>
      <c r="D250" s="15">
        <v>73.430000000000007</v>
      </c>
      <c r="E250" s="15">
        <v>71.23</v>
      </c>
      <c r="F250" s="15">
        <v>2.2000000000000002</v>
      </c>
      <c r="G250" s="15">
        <v>9</v>
      </c>
      <c r="H250" s="15">
        <v>200</v>
      </c>
      <c r="I250" s="15">
        <v>72.23</v>
      </c>
      <c r="J250" s="15"/>
      <c r="K250" s="15"/>
      <c r="L250" s="15">
        <v>200</v>
      </c>
      <c r="M250" s="15" t="s">
        <v>345</v>
      </c>
      <c r="N250" s="15">
        <v>71.599999999999994</v>
      </c>
      <c r="O250" s="15">
        <v>71.599999999999994</v>
      </c>
      <c r="P250" s="15">
        <v>72.23</v>
      </c>
      <c r="Q250" s="15"/>
      <c r="R250" s="11" t="s">
        <v>1221</v>
      </c>
    </row>
    <row r="251" spans="2:18" x14ac:dyDescent="0.3">
      <c r="B251" s="15" t="s">
        <v>346</v>
      </c>
      <c r="C251" s="15">
        <v>74.7</v>
      </c>
      <c r="D251" s="15">
        <v>74.7</v>
      </c>
      <c r="E251" s="15">
        <v>72.5</v>
      </c>
      <c r="F251" s="15">
        <v>2.2000000000000002</v>
      </c>
      <c r="G251" s="15">
        <v>9.02</v>
      </c>
      <c r="H251" s="15">
        <v>200</v>
      </c>
      <c r="I251" s="15">
        <v>73.5</v>
      </c>
      <c r="J251" s="15"/>
      <c r="K251" s="15"/>
      <c r="L251" s="15">
        <v>200</v>
      </c>
      <c r="M251" s="15" t="s">
        <v>347</v>
      </c>
      <c r="N251" s="15">
        <v>72.739999999999995</v>
      </c>
      <c r="O251" s="15">
        <v>72.739999999999995</v>
      </c>
      <c r="P251" s="15">
        <v>73.5</v>
      </c>
      <c r="Q251" s="15"/>
      <c r="R251" s="11" t="s">
        <v>1221</v>
      </c>
    </row>
    <row r="252" spans="2:18" x14ac:dyDescent="0.3">
      <c r="B252" s="15" t="s">
        <v>348</v>
      </c>
      <c r="C252" s="15">
        <v>74.69</v>
      </c>
      <c r="D252" s="15">
        <v>74.69</v>
      </c>
      <c r="E252" s="15">
        <v>72.489999999999995</v>
      </c>
      <c r="F252" s="15">
        <v>2.2000000000000002</v>
      </c>
      <c r="G252" s="15">
        <v>9</v>
      </c>
      <c r="H252" s="15">
        <v>200</v>
      </c>
      <c r="I252" s="15">
        <v>73.489999999999995</v>
      </c>
      <c r="J252" s="15"/>
      <c r="K252" s="15"/>
      <c r="L252" s="15">
        <v>200</v>
      </c>
      <c r="M252" s="15" t="s">
        <v>349</v>
      </c>
      <c r="N252" s="15">
        <v>72.86</v>
      </c>
      <c r="O252" s="15">
        <v>72.86</v>
      </c>
      <c r="P252" s="15">
        <v>73.489999999999995</v>
      </c>
      <c r="Q252" s="15"/>
      <c r="R252" s="11" t="s">
        <v>1221</v>
      </c>
    </row>
    <row r="253" spans="2:18" x14ac:dyDescent="0.3">
      <c r="B253" s="15" t="s">
        <v>350</v>
      </c>
      <c r="C253" s="15">
        <v>89.95</v>
      </c>
      <c r="D253" s="15">
        <v>89.95</v>
      </c>
      <c r="E253" s="15">
        <v>88.08</v>
      </c>
      <c r="F253" s="15">
        <v>1.87</v>
      </c>
      <c r="G253" s="15">
        <v>0.5</v>
      </c>
      <c r="H253" s="15">
        <v>200</v>
      </c>
      <c r="I253" s="15">
        <v>89.08</v>
      </c>
      <c r="J253" s="15"/>
      <c r="K253" s="15"/>
      <c r="L253" s="15">
        <v>200</v>
      </c>
      <c r="M253" s="15" t="s">
        <v>351</v>
      </c>
      <c r="N253" s="15">
        <v>89.05</v>
      </c>
      <c r="O253" s="15">
        <v>89.05</v>
      </c>
      <c r="P253" s="15">
        <v>89.08</v>
      </c>
      <c r="Q253" s="15"/>
      <c r="R253" s="11" t="s">
        <v>1167</v>
      </c>
    </row>
    <row r="254" spans="2:18" x14ac:dyDescent="0.3">
      <c r="B254" s="15" t="s">
        <v>352</v>
      </c>
      <c r="C254" s="15">
        <v>89.9</v>
      </c>
      <c r="D254" s="15">
        <v>89.9</v>
      </c>
      <c r="E254" s="15">
        <v>87.99</v>
      </c>
      <c r="F254" s="15">
        <v>1.91</v>
      </c>
      <c r="G254" s="15">
        <v>0.5</v>
      </c>
      <c r="H254" s="15">
        <v>200</v>
      </c>
      <c r="I254" s="15">
        <v>88.99</v>
      </c>
      <c r="J254" s="15"/>
      <c r="K254" s="15"/>
      <c r="L254" s="15">
        <v>200</v>
      </c>
      <c r="M254" s="15" t="s">
        <v>353</v>
      </c>
      <c r="N254" s="15">
        <v>88.96</v>
      </c>
      <c r="O254" s="15">
        <v>88.96</v>
      </c>
      <c r="P254" s="15">
        <v>88.99</v>
      </c>
      <c r="Q254" s="15"/>
      <c r="R254" s="11" t="s">
        <v>1167</v>
      </c>
    </row>
    <row r="255" spans="2:18" x14ac:dyDescent="0.3">
      <c r="B255" s="15" t="s">
        <v>354</v>
      </c>
      <c r="C255" s="15">
        <v>89.51</v>
      </c>
      <c r="D255" s="15">
        <v>89.51</v>
      </c>
      <c r="E255" s="15">
        <v>87.31</v>
      </c>
      <c r="F255" s="15">
        <v>2.2000000000000002</v>
      </c>
      <c r="G255" s="15">
        <v>4.57</v>
      </c>
      <c r="H255" s="15">
        <v>200</v>
      </c>
      <c r="I255" s="15">
        <v>88.31</v>
      </c>
      <c r="J255" s="15"/>
      <c r="K255" s="15"/>
      <c r="L255" s="15">
        <v>200</v>
      </c>
      <c r="M255" s="15" t="s">
        <v>355</v>
      </c>
      <c r="N255" s="15">
        <v>88</v>
      </c>
      <c r="O255" s="15">
        <v>88</v>
      </c>
      <c r="P255" s="15">
        <v>88.31</v>
      </c>
      <c r="Q255" s="15"/>
      <c r="R255" s="11" t="s">
        <v>1221</v>
      </c>
    </row>
    <row r="256" spans="2:18" x14ac:dyDescent="0.3">
      <c r="B256" s="15" t="s">
        <v>356</v>
      </c>
      <c r="C256" s="15">
        <v>89.12</v>
      </c>
      <c r="D256" s="15">
        <v>89.12</v>
      </c>
      <c r="E256" s="15">
        <v>86.67</v>
      </c>
      <c r="F256" s="15">
        <v>2.4500000000000002</v>
      </c>
      <c r="G256" s="15">
        <v>9</v>
      </c>
      <c r="H256" s="15">
        <v>200</v>
      </c>
      <c r="I256" s="15">
        <v>87.67</v>
      </c>
      <c r="J256" s="15"/>
      <c r="K256" s="15"/>
      <c r="L256" s="15">
        <v>200</v>
      </c>
      <c r="M256" s="15" t="s">
        <v>357</v>
      </c>
      <c r="N256" s="15">
        <v>86.97</v>
      </c>
      <c r="O256" s="15">
        <v>86.97</v>
      </c>
      <c r="P256" s="15">
        <v>87.67</v>
      </c>
      <c r="Q256" s="15"/>
      <c r="R256" s="11" t="s">
        <v>1221</v>
      </c>
    </row>
    <row r="257" spans="2:18" x14ac:dyDescent="0.3">
      <c r="B257" s="15" t="s">
        <v>358</v>
      </c>
      <c r="C257" s="15">
        <v>88.78</v>
      </c>
      <c r="D257" s="15">
        <v>88.78</v>
      </c>
      <c r="E257" s="15">
        <v>86.58</v>
      </c>
      <c r="F257" s="15">
        <v>2.2000000000000002</v>
      </c>
      <c r="G257" s="15">
        <v>5.92</v>
      </c>
      <c r="H257" s="15">
        <v>200</v>
      </c>
      <c r="I257" s="15">
        <v>87.58</v>
      </c>
      <c r="J257" s="15"/>
      <c r="K257" s="15"/>
      <c r="L257" s="15">
        <v>200</v>
      </c>
      <c r="M257" s="15" t="s">
        <v>359</v>
      </c>
      <c r="N257" s="15">
        <v>86.98</v>
      </c>
      <c r="O257" s="15">
        <v>86.98</v>
      </c>
      <c r="P257" s="15">
        <v>87.58</v>
      </c>
      <c r="Q257" s="15"/>
      <c r="R257" s="11" t="s">
        <v>1221</v>
      </c>
    </row>
    <row r="258" spans="2:18" x14ac:dyDescent="0.3">
      <c r="B258" s="15" t="s">
        <v>360</v>
      </c>
      <c r="C258" s="15">
        <v>89.41</v>
      </c>
      <c r="D258" s="15">
        <v>89.41</v>
      </c>
      <c r="E258" s="15">
        <v>86.82</v>
      </c>
      <c r="F258" s="15">
        <v>2.59</v>
      </c>
      <c r="G258" s="15">
        <v>9</v>
      </c>
      <c r="H258" s="15">
        <v>200</v>
      </c>
      <c r="I258" s="15">
        <v>87.82</v>
      </c>
      <c r="J258" s="15"/>
      <c r="K258" s="15"/>
      <c r="L258" s="15">
        <v>200</v>
      </c>
      <c r="M258" s="15" t="s">
        <v>361</v>
      </c>
      <c r="N258" s="15">
        <v>87.04</v>
      </c>
      <c r="O258" s="15">
        <v>87.04</v>
      </c>
      <c r="P258" s="15">
        <v>87.82</v>
      </c>
      <c r="Q258" s="15"/>
      <c r="R258" s="11" t="s">
        <v>1221</v>
      </c>
    </row>
    <row r="259" spans="2:18" x14ac:dyDescent="0.3">
      <c r="B259" s="11" t="s">
        <v>362</v>
      </c>
      <c r="C259" s="11">
        <v>90.15</v>
      </c>
      <c r="D259" s="11">
        <v>90.15</v>
      </c>
      <c r="E259" s="11">
        <v>87.95</v>
      </c>
      <c r="F259" s="11">
        <v>2.2000000000000002</v>
      </c>
      <c r="G259" s="10">
        <v>8.9600000000000009</v>
      </c>
      <c r="H259" s="11">
        <v>200</v>
      </c>
      <c r="I259" s="11">
        <v>88.95</v>
      </c>
      <c r="J259" s="11"/>
      <c r="K259" s="11"/>
      <c r="L259" s="11">
        <v>200</v>
      </c>
      <c r="M259" s="11" t="s">
        <v>363</v>
      </c>
      <c r="N259" s="11">
        <v>88.07</v>
      </c>
      <c r="O259" s="11">
        <v>88.07</v>
      </c>
      <c r="P259" s="11">
        <v>88.95</v>
      </c>
      <c r="Q259" s="11"/>
      <c r="R259" s="11" t="s">
        <v>1221</v>
      </c>
    </row>
    <row r="260" spans="2:18" x14ac:dyDescent="0.3">
      <c r="B260" s="11" t="s">
        <v>364</v>
      </c>
      <c r="C260" s="11">
        <v>90.9</v>
      </c>
      <c r="D260" s="11">
        <v>90.9</v>
      </c>
      <c r="E260" s="11">
        <v>88.7</v>
      </c>
      <c r="F260" s="11">
        <v>2.2000000000000002</v>
      </c>
      <c r="G260" s="10">
        <v>9</v>
      </c>
      <c r="H260" s="11">
        <v>200</v>
      </c>
      <c r="I260" s="11">
        <v>89.7</v>
      </c>
      <c r="J260" s="11"/>
      <c r="K260" s="11"/>
      <c r="L260" s="11">
        <v>200</v>
      </c>
      <c r="M260" s="11" t="s">
        <v>365</v>
      </c>
      <c r="N260" s="11">
        <v>88.61</v>
      </c>
      <c r="O260" s="11">
        <v>88.61</v>
      </c>
      <c r="P260" s="11">
        <v>89.7</v>
      </c>
      <c r="Q260" s="11"/>
      <c r="R260" s="11" t="s">
        <v>1221</v>
      </c>
    </row>
    <row r="261" spans="2:18" x14ac:dyDescent="0.3">
      <c r="B261" s="11" t="s">
        <v>366</v>
      </c>
      <c r="C261" s="11">
        <v>90.88</v>
      </c>
      <c r="D261" s="11">
        <v>90.88</v>
      </c>
      <c r="E261" s="11">
        <v>88.68</v>
      </c>
      <c r="F261" s="11">
        <v>2.2000000000000002</v>
      </c>
      <c r="G261" s="10">
        <v>8.98</v>
      </c>
      <c r="H261" s="11">
        <v>200</v>
      </c>
      <c r="I261" s="11">
        <v>89.68</v>
      </c>
      <c r="J261" s="11"/>
      <c r="K261" s="11"/>
      <c r="L261" s="11">
        <v>200</v>
      </c>
      <c r="M261" s="11" t="s">
        <v>367</v>
      </c>
      <c r="N261" s="11">
        <v>88.25</v>
      </c>
      <c r="O261" s="11">
        <v>88.25</v>
      </c>
      <c r="P261" s="11">
        <v>89.68</v>
      </c>
      <c r="Q261" s="11"/>
      <c r="R261" s="11" t="s">
        <v>1221</v>
      </c>
    </row>
    <row r="262" spans="2:18" x14ac:dyDescent="0.3">
      <c r="B262" s="11" t="s">
        <v>368</v>
      </c>
      <c r="C262" s="11">
        <v>89.46</v>
      </c>
      <c r="D262" s="11">
        <v>89.46</v>
      </c>
      <c r="E262" s="11">
        <v>87.26</v>
      </c>
      <c r="F262" s="11">
        <v>2.2000000000000002</v>
      </c>
      <c r="G262" s="10">
        <v>9</v>
      </c>
      <c r="H262" s="11">
        <v>200</v>
      </c>
      <c r="I262" s="11">
        <v>88.26</v>
      </c>
      <c r="J262" s="11"/>
      <c r="K262" s="11"/>
      <c r="L262" s="11">
        <v>200</v>
      </c>
      <c r="M262" s="11" t="s">
        <v>369</v>
      </c>
      <c r="N262" s="11">
        <v>87.21</v>
      </c>
      <c r="O262" s="11">
        <v>87.21</v>
      </c>
      <c r="P262" s="11">
        <v>88.26</v>
      </c>
      <c r="Q262" s="11"/>
      <c r="R262" s="11" t="s">
        <v>1221</v>
      </c>
    </row>
    <row r="263" spans="2:18" x14ac:dyDescent="0.3">
      <c r="B263" s="11" t="s">
        <v>370</v>
      </c>
      <c r="C263" s="11">
        <v>88.14</v>
      </c>
      <c r="D263" s="11">
        <v>88.14</v>
      </c>
      <c r="E263" s="11">
        <v>85.94</v>
      </c>
      <c r="F263" s="11">
        <v>2.2000000000000002</v>
      </c>
      <c r="G263" s="10">
        <v>9</v>
      </c>
      <c r="H263" s="11">
        <v>200</v>
      </c>
      <c r="I263" s="11">
        <v>86.94</v>
      </c>
      <c r="J263" s="11"/>
      <c r="K263" s="11"/>
      <c r="L263" s="11">
        <v>200</v>
      </c>
      <c r="M263" s="11" t="s">
        <v>371</v>
      </c>
      <c r="N263" s="11">
        <v>86.01</v>
      </c>
      <c r="O263" s="11">
        <v>86.01</v>
      </c>
      <c r="P263" s="11">
        <v>86.94</v>
      </c>
      <c r="Q263" s="11"/>
      <c r="R263" s="11" t="s">
        <v>1221</v>
      </c>
    </row>
    <row r="264" spans="2:18" x14ac:dyDescent="0.3">
      <c r="B264" s="11" t="s">
        <v>372</v>
      </c>
      <c r="C264" s="11">
        <v>86.82</v>
      </c>
      <c r="D264" s="11">
        <v>86.82</v>
      </c>
      <c r="E264" s="11">
        <v>84.62</v>
      </c>
      <c r="F264" s="11">
        <v>2.2000000000000002</v>
      </c>
      <c r="G264" s="10">
        <v>9</v>
      </c>
      <c r="H264" s="11">
        <v>200</v>
      </c>
      <c r="I264" s="11">
        <v>85.62</v>
      </c>
      <c r="J264" s="11"/>
      <c r="K264" s="11"/>
      <c r="L264" s="11">
        <v>200</v>
      </c>
      <c r="M264" s="11" t="s">
        <v>373</v>
      </c>
      <c r="N264" s="11">
        <v>84.8</v>
      </c>
      <c r="O264" s="11">
        <v>84.8</v>
      </c>
      <c r="P264" s="11">
        <v>85.62</v>
      </c>
      <c r="Q264" s="11"/>
      <c r="R264" s="11" t="s">
        <v>1221</v>
      </c>
    </row>
    <row r="265" spans="2:18" x14ac:dyDescent="0.3">
      <c r="B265" s="11" t="s">
        <v>374</v>
      </c>
      <c r="C265" s="11">
        <v>85.51</v>
      </c>
      <c r="D265" s="11">
        <v>85.51</v>
      </c>
      <c r="E265" s="11">
        <v>83.31</v>
      </c>
      <c r="F265" s="11">
        <v>2.2000000000000002</v>
      </c>
      <c r="G265" s="10">
        <v>7.62</v>
      </c>
      <c r="H265" s="11">
        <v>200</v>
      </c>
      <c r="I265" s="11">
        <v>84.31</v>
      </c>
      <c r="J265" s="11"/>
      <c r="K265" s="11"/>
      <c r="L265" s="11">
        <v>200</v>
      </c>
      <c r="M265" s="11" t="s">
        <v>375</v>
      </c>
      <c r="N265" s="11">
        <v>83.72</v>
      </c>
      <c r="O265" s="11">
        <v>83.72</v>
      </c>
      <c r="P265" s="11">
        <v>84.31</v>
      </c>
      <c r="Q265" s="11"/>
      <c r="R265" s="11" t="s">
        <v>1221</v>
      </c>
    </row>
    <row r="266" spans="2:18" x14ac:dyDescent="0.3">
      <c r="B266" s="11" t="s">
        <v>376</v>
      </c>
      <c r="C266" s="11">
        <v>88.29</v>
      </c>
      <c r="D266" s="11">
        <v>88.29</v>
      </c>
      <c r="E266" s="11">
        <v>85.99</v>
      </c>
      <c r="F266" s="11">
        <v>2.2999999999999998</v>
      </c>
      <c r="G266" s="10">
        <v>9</v>
      </c>
      <c r="H266" s="11">
        <v>200</v>
      </c>
      <c r="I266" s="11">
        <v>86.99</v>
      </c>
      <c r="J266" s="11"/>
      <c r="K266" s="11"/>
      <c r="L266" s="11">
        <v>200</v>
      </c>
      <c r="M266" s="11" t="s">
        <v>377</v>
      </c>
      <c r="N266" s="11">
        <v>86.59</v>
      </c>
      <c r="O266" s="11">
        <v>86.59</v>
      </c>
      <c r="P266" s="11">
        <v>86.99</v>
      </c>
      <c r="Q266" s="11"/>
      <c r="R266" s="11" t="s">
        <v>1221</v>
      </c>
    </row>
    <row r="267" spans="2:18" x14ac:dyDescent="0.3">
      <c r="B267" s="11" t="s">
        <v>378</v>
      </c>
      <c r="C267" s="11">
        <v>88.3</v>
      </c>
      <c r="D267" s="11">
        <v>88.3</v>
      </c>
      <c r="E267" s="11">
        <v>86.06</v>
      </c>
      <c r="F267" s="11">
        <v>2.2400000000000002</v>
      </c>
      <c r="G267" s="10">
        <v>9</v>
      </c>
      <c r="H267" s="11">
        <v>200</v>
      </c>
      <c r="I267" s="11">
        <v>87.06</v>
      </c>
      <c r="J267" s="11"/>
      <c r="K267" s="11"/>
      <c r="L267" s="11">
        <v>200</v>
      </c>
      <c r="M267" s="11" t="s">
        <v>379</v>
      </c>
      <c r="N267" s="11">
        <v>86.66</v>
      </c>
      <c r="O267" s="11">
        <v>86.66</v>
      </c>
      <c r="P267" s="11">
        <v>87.06</v>
      </c>
      <c r="Q267" s="11"/>
      <c r="R267" s="11" t="s">
        <v>1221</v>
      </c>
    </row>
    <row r="268" spans="2:18" x14ac:dyDescent="0.3">
      <c r="B268" s="11" t="s">
        <v>380</v>
      </c>
      <c r="C268" s="11">
        <v>88.43</v>
      </c>
      <c r="D268" s="11">
        <v>88.43</v>
      </c>
      <c r="E268" s="11">
        <v>86.23</v>
      </c>
      <c r="F268" s="11">
        <v>2.2000000000000002</v>
      </c>
      <c r="G268" s="10">
        <v>9</v>
      </c>
      <c r="H268" s="11">
        <v>200</v>
      </c>
      <c r="I268" s="11">
        <v>87.23</v>
      </c>
      <c r="J268" s="11"/>
      <c r="K268" s="11"/>
      <c r="L268" s="11">
        <v>200</v>
      </c>
      <c r="M268" s="11" t="s">
        <v>381</v>
      </c>
      <c r="N268" s="11">
        <v>86.77</v>
      </c>
      <c r="O268" s="11">
        <v>86.77</v>
      </c>
      <c r="P268" s="11">
        <v>87.23</v>
      </c>
      <c r="Q268" s="11"/>
      <c r="R268" s="11" t="s">
        <v>1221</v>
      </c>
    </row>
    <row r="269" spans="2:18" x14ac:dyDescent="0.3">
      <c r="B269" s="11" t="s">
        <v>382</v>
      </c>
      <c r="C269" s="11">
        <v>88.45</v>
      </c>
      <c r="D269" s="11">
        <v>88.45</v>
      </c>
      <c r="E269" s="11">
        <v>86.25</v>
      </c>
      <c r="F269" s="11">
        <v>2.2000000000000002</v>
      </c>
      <c r="G269" s="10">
        <v>9</v>
      </c>
      <c r="H269" s="11">
        <v>200</v>
      </c>
      <c r="I269" s="11">
        <v>87.25</v>
      </c>
      <c r="J269" s="11"/>
      <c r="K269" s="11"/>
      <c r="L269" s="11">
        <v>200</v>
      </c>
      <c r="M269" s="11" t="s">
        <v>383</v>
      </c>
      <c r="N269" s="11">
        <v>86.78</v>
      </c>
      <c r="O269" s="11">
        <v>86.78</v>
      </c>
      <c r="P269" s="11">
        <v>87.25</v>
      </c>
      <c r="Q269" s="11"/>
      <c r="R269" s="11" t="s">
        <v>1221</v>
      </c>
    </row>
    <row r="270" spans="2:18" x14ac:dyDescent="0.3">
      <c r="B270" s="11" t="s">
        <v>384</v>
      </c>
      <c r="C270" s="11">
        <v>88.53</v>
      </c>
      <c r="D270" s="11">
        <v>88.53</v>
      </c>
      <c r="E270" s="11">
        <v>86.33</v>
      </c>
      <c r="F270" s="11">
        <v>2.2000000000000002</v>
      </c>
      <c r="G270" s="10">
        <v>9</v>
      </c>
      <c r="H270" s="11">
        <v>200</v>
      </c>
      <c r="I270" s="11">
        <v>87.33</v>
      </c>
      <c r="J270" s="11"/>
      <c r="K270" s="11"/>
      <c r="L270" s="11">
        <v>200</v>
      </c>
      <c r="M270" s="11" t="s">
        <v>385</v>
      </c>
      <c r="N270" s="11">
        <v>86.68</v>
      </c>
      <c r="O270" s="11">
        <v>86.68</v>
      </c>
      <c r="P270" s="11">
        <v>87.33</v>
      </c>
      <c r="Q270" s="11"/>
      <c r="R270" s="11" t="s">
        <v>1221</v>
      </c>
    </row>
    <row r="271" spans="2:18" x14ac:dyDescent="0.3">
      <c r="B271" s="11" t="s">
        <v>386</v>
      </c>
      <c r="C271" s="11">
        <v>88.53</v>
      </c>
      <c r="D271" s="11">
        <v>88.53</v>
      </c>
      <c r="E271" s="11">
        <v>86.33</v>
      </c>
      <c r="F271" s="11">
        <v>2.2000000000000002</v>
      </c>
      <c r="G271" s="10">
        <v>9.0399999999999991</v>
      </c>
      <c r="H271" s="11">
        <v>200</v>
      </c>
      <c r="I271" s="11">
        <v>87.33</v>
      </c>
      <c r="J271" s="11"/>
      <c r="K271" s="11"/>
      <c r="L271" s="11">
        <v>200</v>
      </c>
      <c r="M271" s="11" t="s">
        <v>387</v>
      </c>
      <c r="N271" s="11">
        <v>86.68</v>
      </c>
      <c r="O271" s="11">
        <v>86.68</v>
      </c>
      <c r="P271" s="11">
        <v>87.33</v>
      </c>
      <c r="Q271" s="11"/>
      <c r="R271" s="11" t="s">
        <v>1221</v>
      </c>
    </row>
    <row r="272" spans="2:18" x14ac:dyDescent="0.3">
      <c r="B272" s="11" t="s">
        <v>388</v>
      </c>
      <c r="C272" s="11">
        <v>88.42</v>
      </c>
      <c r="D272" s="11">
        <v>88.42</v>
      </c>
      <c r="E272" s="11">
        <v>86.22</v>
      </c>
      <c r="F272" s="11">
        <v>2.2000000000000002</v>
      </c>
      <c r="G272" s="10">
        <v>8.81</v>
      </c>
      <c r="H272" s="11">
        <v>200</v>
      </c>
      <c r="I272" s="11">
        <v>87.22</v>
      </c>
      <c r="J272" s="11"/>
      <c r="K272" s="11"/>
      <c r="L272" s="11">
        <v>200</v>
      </c>
      <c r="M272" s="11" t="s">
        <v>389</v>
      </c>
      <c r="N272" s="11">
        <v>86.55</v>
      </c>
      <c r="O272" s="11">
        <v>86.55</v>
      </c>
      <c r="P272" s="11">
        <v>87.22</v>
      </c>
      <c r="Q272" s="11"/>
      <c r="R272" s="11" t="s">
        <v>1221</v>
      </c>
    </row>
    <row r="273" spans="2:18" x14ac:dyDescent="0.3">
      <c r="B273" s="11" t="s">
        <v>390</v>
      </c>
      <c r="C273" s="11">
        <v>88.42</v>
      </c>
      <c r="D273" s="11">
        <v>88.42</v>
      </c>
      <c r="E273" s="11">
        <v>86.22</v>
      </c>
      <c r="F273" s="11">
        <v>2.2000000000000002</v>
      </c>
      <c r="G273" s="10">
        <v>9</v>
      </c>
      <c r="H273" s="11">
        <v>200</v>
      </c>
      <c r="I273" s="11">
        <v>87.22</v>
      </c>
      <c r="J273" s="11"/>
      <c r="K273" s="11"/>
      <c r="L273" s="11">
        <v>200</v>
      </c>
      <c r="M273" s="11" t="s">
        <v>391</v>
      </c>
      <c r="N273" s="11">
        <v>86.54</v>
      </c>
      <c r="O273" s="11">
        <v>86.54</v>
      </c>
      <c r="P273" s="11">
        <v>87.22</v>
      </c>
      <c r="Q273" s="11"/>
      <c r="R273" s="11" t="s">
        <v>1221</v>
      </c>
    </row>
    <row r="274" spans="2:18" x14ac:dyDescent="0.3">
      <c r="B274" s="11" t="s">
        <v>392</v>
      </c>
      <c r="C274" s="11">
        <v>88.24</v>
      </c>
      <c r="D274" s="11">
        <v>88.24</v>
      </c>
      <c r="E274" s="11">
        <v>86.04</v>
      </c>
      <c r="F274" s="11">
        <v>2.2000000000000002</v>
      </c>
      <c r="G274" s="10">
        <v>8.9600000000000009</v>
      </c>
      <c r="H274" s="11">
        <v>200</v>
      </c>
      <c r="I274" s="11">
        <v>87.04</v>
      </c>
      <c r="J274" s="11"/>
      <c r="K274" s="11"/>
      <c r="L274" s="11">
        <v>200</v>
      </c>
      <c r="M274" s="11" t="s">
        <v>393</v>
      </c>
      <c r="N274" s="11">
        <v>86.23</v>
      </c>
      <c r="O274" s="11">
        <v>86.23</v>
      </c>
      <c r="P274" s="11">
        <v>87.04</v>
      </c>
      <c r="Q274" s="11"/>
      <c r="R274" s="11" t="s">
        <v>1221</v>
      </c>
    </row>
    <row r="275" spans="2:18" x14ac:dyDescent="0.3">
      <c r="B275" s="11" t="s">
        <v>394</v>
      </c>
      <c r="C275" s="11">
        <v>88.24</v>
      </c>
      <c r="D275" s="11">
        <v>88.24</v>
      </c>
      <c r="E275" s="11">
        <v>86.04</v>
      </c>
      <c r="F275" s="11">
        <v>2.2000000000000002</v>
      </c>
      <c r="G275" s="10">
        <v>9</v>
      </c>
      <c r="H275" s="11">
        <v>200</v>
      </c>
      <c r="I275" s="11">
        <v>87.04</v>
      </c>
      <c r="J275" s="11"/>
      <c r="K275" s="11"/>
      <c r="L275" s="11">
        <v>200</v>
      </c>
      <c r="M275" s="11" t="s">
        <v>395</v>
      </c>
      <c r="N275" s="11">
        <v>86.23</v>
      </c>
      <c r="O275" s="11">
        <v>86.23</v>
      </c>
      <c r="P275" s="11">
        <v>87.04</v>
      </c>
      <c r="Q275" s="11"/>
      <c r="R275" s="11" t="s">
        <v>1221</v>
      </c>
    </row>
    <row r="276" spans="2:18" x14ac:dyDescent="0.3">
      <c r="B276" s="11" t="s">
        <v>396</v>
      </c>
      <c r="C276" s="11">
        <v>87.99</v>
      </c>
      <c r="D276" s="11">
        <v>87.99</v>
      </c>
      <c r="E276" s="11">
        <v>85.79</v>
      </c>
      <c r="F276" s="11">
        <v>2.2000000000000002</v>
      </c>
      <c r="G276" s="10">
        <v>9</v>
      </c>
      <c r="H276" s="11">
        <v>200</v>
      </c>
      <c r="I276" s="11">
        <v>86.79</v>
      </c>
      <c r="J276" s="11"/>
      <c r="K276" s="11"/>
      <c r="L276" s="11">
        <v>200</v>
      </c>
      <c r="M276" s="11" t="s">
        <v>397</v>
      </c>
      <c r="N276" s="11">
        <v>85.89</v>
      </c>
      <c r="O276" s="11">
        <v>85.89</v>
      </c>
      <c r="P276" s="11">
        <v>86.79</v>
      </c>
      <c r="Q276" s="11"/>
      <c r="R276" s="11" t="s">
        <v>1221</v>
      </c>
    </row>
    <row r="277" spans="2:18" x14ac:dyDescent="0.3">
      <c r="B277" s="11" t="s">
        <v>398</v>
      </c>
      <c r="C277" s="11">
        <v>87.99</v>
      </c>
      <c r="D277" s="11">
        <v>87.99</v>
      </c>
      <c r="E277" s="11">
        <v>85.79</v>
      </c>
      <c r="F277" s="11">
        <v>2.2000000000000002</v>
      </c>
      <c r="G277" s="10">
        <v>9.11</v>
      </c>
      <c r="H277" s="11">
        <v>200</v>
      </c>
      <c r="I277" s="11">
        <v>86.79</v>
      </c>
      <c r="J277" s="11"/>
      <c r="K277" s="11"/>
      <c r="L277" s="11">
        <v>200</v>
      </c>
      <c r="M277" s="11" t="s">
        <v>399</v>
      </c>
      <c r="N277" s="11">
        <v>85.89</v>
      </c>
      <c r="O277" s="11">
        <v>85.89</v>
      </c>
      <c r="P277" s="11">
        <v>86.79</v>
      </c>
      <c r="Q277" s="11"/>
      <c r="R277" s="11" t="s">
        <v>1221</v>
      </c>
    </row>
    <row r="278" spans="2:18" x14ac:dyDescent="0.3">
      <c r="B278" s="11" t="s">
        <v>1163</v>
      </c>
      <c r="C278" s="11">
        <v>86.38</v>
      </c>
      <c r="D278" s="11">
        <v>86.38</v>
      </c>
      <c r="E278" s="11">
        <v>84.18</v>
      </c>
      <c r="F278" s="11">
        <v>2.2000000000000002</v>
      </c>
      <c r="G278" s="10">
        <v>8.9</v>
      </c>
      <c r="H278" s="11">
        <v>200</v>
      </c>
      <c r="I278" s="11">
        <v>85.18</v>
      </c>
      <c r="J278" s="11">
        <v>200</v>
      </c>
      <c r="K278" s="11">
        <v>85.18</v>
      </c>
      <c r="L278" s="11">
        <v>200</v>
      </c>
      <c r="M278" s="11" t="s">
        <v>400</v>
      </c>
      <c r="N278" s="11">
        <v>84.29</v>
      </c>
      <c r="O278" s="11">
        <v>84.29</v>
      </c>
      <c r="P278" s="11">
        <v>85.18</v>
      </c>
      <c r="Q278" s="11">
        <v>270</v>
      </c>
      <c r="R278" s="11" t="s">
        <v>1221</v>
      </c>
    </row>
    <row r="279" spans="2:18" x14ac:dyDescent="0.3">
      <c r="B279" s="11" t="s">
        <v>1164</v>
      </c>
      <c r="C279" s="11">
        <v>87</v>
      </c>
      <c r="D279" s="11">
        <v>87</v>
      </c>
      <c r="E279" s="11">
        <v>84.8</v>
      </c>
      <c r="F279" s="11">
        <v>2.2000000000000002</v>
      </c>
      <c r="G279" s="10">
        <v>2.0099999999999998</v>
      </c>
      <c r="H279" s="11">
        <v>200</v>
      </c>
      <c r="I279" s="11">
        <v>85.8</v>
      </c>
      <c r="J279" s="11"/>
      <c r="K279" s="11"/>
      <c r="L279" s="11">
        <v>200</v>
      </c>
      <c r="M279" s="11" t="s">
        <v>1163</v>
      </c>
      <c r="N279" s="11">
        <v>85.18</v>
      </c>
      <c r="O279" s="11">
        <v>85.18</v>
      </c>
      <c r="P279" s="11">
        <v>85.8</v>
      </c>
      <c r="Q279" s="11"/>
      <c r="R279" s="11" t="s">
        <v>1221</v>
      </c>
    </row>
    <row r="280" spans="2:18" x14ac:dyDescent="0.3">
      <c r="B280" s="11" t="s">
        <v>1165</v>
      </c>
      <c r="C280" s="11">
        <v>86.37</v>
      </c>
      <c r="D280" s="11">
        <v>86.37</v>
      </c>
      <c r="E280" s="11">
        <v>84.18</v>
      </c>
      <c r="F280" s="11">
        <v>2.19</v>
      </c>
      <c r="G280" s="10">
        <v>9.4</v>
      </c>
      <c r="H280" s="11">
        <v>200</v>
      </c>
      <c r="I280" s="11">
        <v>85.18</v>
      </c>
      <c r="J280" s="11">
        <v>200</v>
      </c>
      <c r="K280" s="11">
        <v>85.18</v>
      </c>
      <c r="L280" s="11">
        <v>200</v>
      </c>
      <c r="M280" s="11" t="s">
        <v>401</v>
      </c>
      <c r="N280" s="11">
        <v>84.11</v>
      </c>
      <c r="O280" s="11">
        <v>84.11</v>
      </c>
      <c r="P280" s="11">
        <v>85.18</v>
      </c>
      <c r="Q280" s="11">
        <v>91.4</v>
      </c>
      <c r="R280" s="11" t="s">
        <v>1221</v>
      </c>
    </row>
    <row r="281" spans="2:18" x14ac:dyDescent="0.3">
      <c r="B281" s="11" t="s">
        <v>1166</v>
      </c>
      <c r="C281" s="11">
        <v>87</v>
      </c>
      <c r="D281" s="11">
        <v>87</v>
      </c>
      <c r="E281" s="11">
        <v>84.8</v>
      </c>
      <c r="F281" s="11">
        <v>2.2000000000000002</v>
      </c>
      <c r="G281" s="10">
        <v>2</v>
      </c>
      <c r="H281" s="11">
        <v>200</v>
      </c>
      <c r="I281" s="11">
        <v>85.8</v>
      </c>
      <c r="J281" s="11"/>
      <c r="K281" s="11"/>
      <c r="L281" s="11">
        <v>200</v>
      </c>
      <c r="M281" s="11" t="s">
        <v>1165</v>
      </c>
      <c r="N281" s="11">
        <v>85.18</v>
      </c>
      <c r="O281" s="11">
        <v>85.18</v>
      </c>
      <c r="P281" s="11">
        <v>85.8</v>
      </c>
      <c r="Q281" s="11"/>
      <c r="R281" s="11" t="s">
        <v>1221</v>
      </c>
    </row>
    <row r="282" spans="2:18" x14ac:dyDescent="0.3">
      <c r="B282" s="11" t="s">
        <v>402</v>
      </c>
      <c r="C282" s="11">
        <v>85.79</v>
      </c>
      <c r="D282" s="11">
        <v>85.79</v>
      </c>
      <c r="E282" s="11">
        <v>83.59</v>
      </c>
      <c r="F282" s="11">
        <v>2.2000000000000002</v>
      </c>
      <c r="G282" s="10">
        <v>9</v>
      </c>
      <c r="H282" s="11">
        <v>200</v>
      </c>
      <c r="I282" s="11">
        <v>84.59</v>
      </c>
      <c r="J282" s="11"/>
      <c r="K282" s="11"/>
      <c r="L282" s="11">
        <v>200</v>
      </c>
      <c r="M282" s="11" t="s">
        <v>403</v>
      </c>
      <c r="N282" s="11">
        <v>83.73</v>
      </c>
      <c r="O282" s="11">
        <v>83.73</v>
      </c>
      <c r="P282" s="11">
        <v>84.59</v>
      </c>
      <c r="Q282" s="11"/>
      <c r="R282" s="11" t="s">
        <v>1221</v>
      </c>
    </row>
    <row r="283" spans="2:18" x14ac:dyDescent="0.3">
      <c r="B283" s="11" t="s">
        <v>404</v>
      </c>
      <c r="C283" s="11">
        <v>85.79</v>
      </c>
      <c r="D283" s="11">
        <v>85.79</v>
      </c>
      <c r="E283" s="11">
        <v>83.59</v>
      </c>
      <c r="F283" s="11">
        <v>2.2000000000000002</v>
      </c>
      <c r="G283" s="10">
        <v>8.8699999999999992</v>
      </c>
      <c r="H283" s="11">
        <v>200</v>
      </c>
      <c r="I283" s="11">
        <v>84.59</v>
      </c>
      <c r="J283" s="11"/>
      <c r="K283" s="11"/>
      <c r="L283" s="11">
        <v>200</v>
      </c>
      <c r="M283" s="11" t="s">
        <v>405</v>
      </c>
      <c r="N283" s="11">
        <v>83.62</v>
      </c>
      <c r="O283" s="11">
        <v>83.62</v>
      </c>
      <c r="P283" s="11">
        <v>84.59</v>
      </c>
      <c r="Q283" s="11"/>
      <c r="R283" s="11" t="s">
        <v>1221</v>
      </c>
    </row>
    <row r="284" spans="2:18" x14ac:dyDescent="0.3">
      <c r="B284" s="11" t="s">
        <v>406</v>
      </c>
      <c r="C284" s="11">
        <v>85.14</v>
      </c>
      <c r="D284" s="11">
        <v>85.14</v>
      </c>
      <c r="E284" s="11">
        <v>82.94</v>
      </c>
      <c r="F284" s="11">
        <v>2.2000000000000002</v>
      </c>
      <c r="G284" s="10">
        <v>9</v>
      </c>
      <c r="H284" s="11">
        <v>200</v>
      </c>
      <c r="I284" s="11">
        <v>83.94</v>
      </c>
      <c r="J284" s="11"/>
      <c r="K284" s="11"/>
      <c r="L284" s="11">
        <v>200</v>
      </c>
      <c r="M284" s="11" t="s">
        <v>407</v>
      </c>
      <c r="N284" s="11">
        <v>83.12</v>
      </c>
      <c r="O284" s="11">
        <v>83.12</v>
      </c>
      <c r="P284" s="11">
        <v>83.94</v>
      </c>
      <c r="Q284" s="11"/>
      <c r="R284" s="11" t="s">
        <v>1221</v>
      </c>
    </row>
    <row r="285" spans="2:18" x14ac:dyDescent="0.3">
      <c r="B285" s="11" t="s">
        <v>408</v>
      </c>
      <c r="C285" s="11">
        <v>85.13</v>
      </c>
      <c r="D285" s="11">
        <v>85.13</v>
      </c>
      <c r="E285" s="11">
        <v>82.93</v>
      </c>
      <c r="F285" s="11">
        <v>2.2000000000000002</v>
      </c>
      <c r="G285" s="10">
        <v>9</v>
      </c>
      <c r="H285" s="11">
        <v>200</v>
      </c>
      <c r="I285" s="11">
        <v>83.93</v>
      </c>
      <c r="J285" s="11"/>
      <c r="K285" s="11"/>
      <c r="L285" s="11">
        <v>200</v>
      </c>
      <c r="M285" s="11" t="s">
        <v>409</v>
      </c>
      <c r="N285" s="11">
        <v>82.95</v>
      </c>
      <c r="O285" s="11">
        <v>82.95</v>
      </c>
      <c r="P285" s="11">
        <v>83.93</v>
      </c>
      <c r="Q285" s="11"/>
      <c r="R285" s="11" t="s">
        <v>1221</v>
      </c>
    </row>
    <row r="286" spans="2:18" x14ac:dyDescent="0.3">
      <c r="B286" s="11" t="s">
        <v>410</v>
      </c>
      <c r="C286" s="11">
        <v>84.41</v>
      </c>
      <c r="D286" s="11">
        <v>84.41</v>
      </c>
      <c r="E286" s="11">
        <v>82.21</v>
      </c>
      <c r="F286" s="11">
        <v>2.2000000000000002</v>
      </c>
      <c r="G286" s="10">
        <v>9</v>
      </c>
      <c r="H286" s="11">
        <v>200</v>
      </c>
      <c r="I286" s="11">
        <v>83.21</v>
      </c>
      <c r="J286" s="11"/>
      <c r="K286" s="11"/>
      <c r="L286" s="11">
        <v>200</v>
      </c>
      <c r="M286" s="11" t="s">
        <v>411</v>
      </c>
      <c r="N286" s="11">
        <v>82.43</v>
      </c>
      <c r="O286" s="11">
        <v>82.43</v>
      </c>
      <c r="P286" s="11">
        <v>83.21</v>
      </c>
      <c r="Q286" s="11"/>
      <c r="R286" s="11" t="s">
        <v>1221</v>
      </c>
    </row>
    <row r="287" spans="2:18" x14ac:dyDescent="0.3">
      <c r="B287" s="11" t="s">
        <v>412</v>
      </c>
      <c r="C287" s="11">
        <v>84.4</v>
      </c>
      <c r="D287" s="11">
        <v>84.4</v>
      </c>
      <c r="E287" s="11">
        <v>82.2</v>
      </c>
      <c r="F287" s="11">
        <v>2.2000000000000002</v>
      </c>
      <c r="G287" s="10">
        <v>9</v>
      </c>
      <c r="H287" s="11">
        <v>200</v>
      </c>
      <c r="I287" s="11">
        <v>83.2</v>
      </c>
      <c r="J287" s="11"/>
      <c r="K287" s="11"/>
      <c r="L287" s="11">
        <v>200</v>
      </c>
      <c r="M287" s="11" t="s">
        <v>413</v>
      </c>
      <c r="N287" s="11">
        <v>82.24</v>
      </c>
      <c r="O287" s="11">
        <v>82.24</v>
      </c>
      <c r="P287" s="11">
        <v>83.2</v>
      </c>
      <c r="Q287" s="11"/>
      <c r="R287" s="11" t="s">
        <v>1221</v>
      </c>
    </row>
    <row r="288" spans="2:18" x14ac:dyDescent="0.3">
      <c r="B288" s="11" t="s">
        <v>414</v>
      </c>
      <c r="C288" s="11">
        <v>83.62</v>
      </c>
      <c r="D288" s="11">
        <v>83.62</v>
      </c>
      <c r="E288" s="11">
        <v>81.42</v>
      </c>
      <c r="F288" s="11">
        <v>2.2000000000000002</v>
      </c>
      <c r="G288" s="10">
        <v>9</v>
      </c>
      <c r="H288" s="11">
        <v>200</v>
      </c>
      <c r="I288" s="11">
        <v>82.42</v>
      </c>
      <c r="J288" s="11"/>
      <c r="K288" s="11"/>
      <c r="L288" s="11">
        <v>200</v>
      </c>
      <c r="M288" s="11" t="s">
        <v>415</v>
      </c>
      <c r="N288" s="11">
        <v>81.680000000000007</v>
      </c>
      <c r="O288" s="11">
        <v>81.680000000000007</v>
      </c>
      <c r="P288" s="11">
        <v>82.42</v>
      </c>
      <c r="Q288" s="11"/>
      <c r="R288" s="11" t="s">
        <v>1221</v>
      </c>
    </row>
    <row r="289" spans="2:18" x14ac:dyDescent="0.3">
      <c r="B289" s="11" t="s">
        <v>416</v>
      </c>
      <c r="C289" s="11">
        <v>83.61</v>
      </c>
      <c r="D289" s="11">
        <v>83.61</v>
      </c>
      <c r="E289" s="11">
        <v>81.41</v>
      </c>
      <c r="F289" s="11">
        <v>2.2000000000000002</v>
      </c>
      <c r="G289" s="10">
        <v>9.02</v>
      </c>
      <c r="H289" s="11">
        <v>200</v>
      </c>
      <c r="I289" s="11">
        <v>82.41</v>
      </c>
      <c r="J289" s="11"/>
      <c r="K289" s="11"/>
      <c r="L289" s="11">
        <v>200</v>
      </c>
      <c r="M289" s="11" t="s">
        <v>417</v>
      </c>
      <c r="N289" s="11">
        <v>81.510000000000005</v>
      </c>
      <c r="O289" s="11">
        <v>81.510000000000005</v>
      </c>
      <c r="P289" s="11">
        <v>82.41</v>
      </c>
      <c r="Q289" s="11"/>
      <c r="R289" s="11" t="s">
        <v>1221</v>
      </c>
    </row>
    <row r="290" spans="2:18" x14ac:dyDescent="0.3">
      <c r="B290" s="11" t="s">
        <v>418</v>
      </c>
      <c r="C290" s="11">
        <v>82.74</v>
      </c>
      <c r="D290" s="11">
        <v>82.74</v>
      </c>
      <c r="E290" s="11">
        <v>80.540000000000006</v>
      </c>
      <c r="F290" s="11">
        <v>2.2000000000000002</v>
      </c>
      <c r="G290" s="10">
        <v>9</v>
      </c>
      <c r="H290" s="11">
        <v>200</v>
      </c>
      <c r="I290" s="11">
        <v>81.540000000000006</v>
      </c>
      <c r="J290" s="11"/>
      <c r="K290" s="11"/>
      <c r="L290" s="11">
        <v>200</v>
      </c>
      <c r="M290" s="11" t="s">
        <v>419</v>
      </c>
      <c r="N290" s="11">
        <v>80.849999999999994</v>
      </c>
      <c r="O290" s="11">
        <v>80.849999999999994</v>
      </c>
      <c r="P290" s="11">
        <v>81.540000000000006</v>
      </c>
      <c r="Q290" s="11"/>
      <c r="R290" s="11" t="s">
        <v>1221</v>
      </c>
    </row>
    <row r="291" spans="2:18" x14ac:dyDescent="0.3">
      <c r="B291" s="11" t="s">
        <v>420</v>
      </c>
      <c r="C291" s="11">
        <v>82.75</v>
      </c>
      <c r="D291" s="11">
        <v>82.75</v>
      </c>
      <c r="E291" s="11">
        <v>80.55</v>
      </c>
      <c r="F291" s="11">
        <v>2.2000000000000002</v>
      </c>
      <c r="G291" s="10">
        <v>9</v>
      </c>
      <c r="H291" s="11">
        <v>200</v>
      </c>
      <c r="I291" s="11">
        <v>81.55</v>
      </c>
      <c r="J291" s="11"/>
      <c r="K291" s="11"/>
      <c r="L291" s="11">
        <v>200</v>
      </c>
      <c r="M291" s="11" t="s">
        <v>421</v>
      </c>
      <c r="N291" s="11">
        <v>80.7</v>
      </c>
      <c r="O291" s="11">
        <v>80.7</v>
      </c>
      <c r="P291" s="11">
        <v>81.55</v>
      </c>
      <c r="Q291" s="11"/>
      <c r="R291" s="11" t="s">
        <v>1221</v>
      </c>
    </row>
    <row r="292" spans="2:18" x14ac:dyDescent="0.3">
      <c r="B292" s="11" t="s">
        <v>422</v>
      </c>
      <c r="C292" s="11">
        <v>81.83</v>
      </c>
      <c r="D292" s="11">
        <v>81.83</v>
      </c>
      <c r="E292" s="11">
        <v>79.63</v>
      </c>
      <c r="F292" s="11">
        <v>2.2000000000000002</v>
      </c>
      <c r="G292" s="10">
        <v>9</v>
      </c>
      <c r="H292" s="11">
        <v>200</v>
      </c>
      <c r="I292" s="11">
        <v>80.63</v>
      </c>
      <c r="J292" s="11"/>
      <c r="K292" s="11"/>
      <c r="L292" s="11">
        <v>200</v>
      </c>
      <c r="M292" s="11" t="s">
        <v>423</v>
      </c>
      <c r="N292" s="11">
        <v>80</v>
      </c>
      <c r="O292" s="11">
        <v>80</v>
      </c>
      <c r="P292" s="11">
        <v>80.63</v>
      </c>
      <c r="Q292" s="11"/>
      <c r="R292" s="11" t="s">
        <v>1221</v>
      </c>
    </row>
    <row r="293" spans="2:18" x14ac:dyDescent="0.3">
      <c r="B293" s="11" t="s">
        <v>424</v>
      </c>
      <c r="C293" s="11">
        <v>81.819999999999993</v>
      </c>
      <c r="D293" s="11">
        <v>81.819999999999993</v>
      </c>
      <c r="E293" s="11">
        <v>79.62</v>
      </c>
      <c r="F293" s="11">
        <v>2.2000000000000002</v>
      </c>
      <c r="G293" s="10">
        <v>9</v>
      </c>
      <c r="H293" s="11">
        <v>200</v>
      </c>
      <c r="I293" s="11">
        <v>80.62</v>
      </c>
      <c r="J293" s="11"/>
      <c r="K293" s="11"/>
      <c r="L293" s="11">
        <v>200</v>
      </c>
      <c r="M293" s="11" t="s">
        <v>425</v>
      </c>
      <c r="N293" s="11">
        <v>79.8</v>
      </c>
      <c r="O293" s="11">
        <v>79.8</v>
      </c>
      <c r="P293" s="11">
        <v>80.62</v>
      </c>
      <c r="Q293" s="11"/>
      <c r="R293" s="11" t="s">
        <v>1221</v>
      </c>
    </row>
    <row r="294" spans="2:18" x14ac:dyDescent="0.3">
      <c r="B294" s="11" t="s">
        <v>426</v>
      </c>
      <c r="C294" s="11">
        <v>80.83</v>
      </c>
      <c r="D294" s="11">
        <v>80.83</v>
      </c>
      <c r="E294" s="11">
        <v>78.63</v>
      </c>
      <c r="F294" s="11">
        <v>2.2000000000000002</v>
      </c>
      <c r="G294" s="10">
        <v>9</v>
      </c>
      <c r="H294" s="11">
        <v>200</v>
      </c>
      <c r="I294" s="11">
        <v>79.63</v>
      </c>
      <c r="J294" s="11"/>
      <c r="K294" s="11"/>
      <c r="L294" s="11">
        <v>200</v>
      </c>
      <c r="M294" s="11" t="s">
        <v>427</v>
      </c>
      <c r="N294" s="11">
        <v>79.069999999999993</v>
      </c>
      <c r="O294" s="11">
        <v>79.069999999999993</v>
      </c>
      <c r="P294" s="11">
        <v>79.63</v>
      </c>
      <c r="Q294" s="11"/>
      <c r="R294" s="11" t="s">
        <v>1221</v>
      </c>
    </row>
    <row r="295" spans="2:18" x14ac:dyDescent="0.3">
      <c r="B295" s="11" t="s">
        <v>428</v>
      </c>
      <c r="C295" s="11">
        <v>80.81</v>
      </c>
      <c r="D295" s="11">
        <v>80.81</v>
      </c>
      <c r="E295" s="11">
        <v>78.61</v>
      </c>
      <c r="F295" s="11">
        <v>2.2000000000000002</v>
      </c>
      <c r="G295" s="10">
        <v>9</v>
      </c>
      <c r="H295" s="11">
        <v>200</v>
      </c>
      <c r="I295" s="11">
        <v>79.61</v>
      </c>
      <c r="J295" s="11"/>
      <c r="K295" s="11"/>
      <c r="L295" s="11">
        <v>200</v>
      </c>
      <c r="M295" s="11" t="s">
        <v>429</v>
      </c>
      <c r="N295" s="11">
        <v>78.84</v>
      </c>
      <c r="O295" s="11">
        <v>78.84</v>
      </c>
      <c r="P295" s="11">
        <v>79.61</v>
      </c>
      <c r="Q295" s="11"/>
      <c r="R295" s="11" t="s">
        <v>1221</v>
      </c>
    </row>
    <row r="296" spans="2:18" x14ac:dyDescent="0.3">
      <c r="B296" s="11" t="s">
        <v>430</v>
      </c>
      <c r="C296" s="11">
        <v>79.78</v>
      </c>
      <c r="D296" s="11">
        <v>79.78</v>
      </c>
      <c r="E296" s="11">
        <v>77.58</v>
      </c>
      <c r="F296" s="11">
        <v>2.2000000000000002</v>
      </c>
      <c r="G296" s="10">
        <v>9</v>
      </c>
      <c r="H296" s="11">
        <v>200</v>
      </c>
      <c r="I296" s="11">
        <v>78.58</v>
      </c>
      <c r="J296" s="11"/>
      <c r="K296" s="11"/>
      <c r="L296" s="11">
        <v>200</v>
      </c>
      <c r="M296" s="11" t="s">
        <v>431</v>
      </c>
      <c r="N296" s="11">
        <v>78.069999999999993</v>
      </c>
      <c r="O296" s="11">
        <v>78.069999999999993</v>
      </c>
      <c r="P296" s="11">
        <v>78.58</v>
      </c>
      <c r="Q296" s="11"/>
      <c r="R296" s="11" t="s">
        <v>1221</v>
      </c>
    </row>
    <row r="297" spans="2:18" x14ac:dyDescent="0.3">
      <c r="B297" s="11" t="s">
        <v>432</v>
      </c>
      <c r="C297" s="11">
        <v>79.760000000000005</v>
      </c>
      <c r="D297" s="11">
        <v>79.760000000000005</v>
      </c>
      <c r="E297" s="11">
        <v>77.56</v>
      </c>
      <c r="F297" s="11">
        <v>2.2000000000000002</v>
      </c>
      <c r="G297" s="10">
        <v>9</v>
      </c>
      <c r="H297" s="11">
        <v>200</v>
      </c>
      <c r="I297" s="11">
        <v>78.56</v>
      </c>
      <c r="J297" s="11"/>
      <c r="K297" s="11"/>
      <c r="L297" s="11">
        <v>200</v>
      </c>
      <c r="M297" s="11" t="s">
        <v>433</v>
      </c>
      <c r="N297" s="11">
        <v>77.89</v>
      </c>
      <c r="O297" s="11">
        <v>77.89</v>
      </c>
      <c r="P297" s="11">
        <v>78.56</v>
      </c>
      <c r="Q297" s="11"/>
      <c r="R297" s="11" t="s">
        <v>1221</v>
      </c>
    </row>
    <row r="298" spans="2:18" x14ac:dyDescent="0.3">
      <c r="B298" s="11" t="s">
        <v>434</v>
      </c>
      <c r="C298" s="11">
        <v>78.78</v>
      </c>
      <c r="D298" s="11">
        <v>78.78</v>
      </c>
      <c r="E298" s="11">
        <v>76.34</v>
      </c>
      <c r="F298" s="11">
        <v>2.44</v>
      </c>
      <c r="G298" s="10">
        <v>9</v>
      </c>
      <c r="H298" s="11">
        <v>200</v>
      </c>
      <c r="I298" s="11">
        <v>77.34</v>
      </c>
      <c r="J298" s="11"/>
      <c r="K298" s="11"/>
      <c r="L298" s="11">
        <v>200</v>
      </c>
      <c r="M298" s="11" t="s">
        <v>435</v>
      </c>
      <c r="N298" s="11">
        <v>76.91</v>
      </c>
      <c r="O298" s="11">
        <v>76.91</v>
      </c>
      <c r="P298" s="11">
        <v>77.34</v>
      </c>
      <c r="Q298" s="11"/>
      <c r="R298" s="11" t="s">
        <v>1221</v>
      </c>
    </row>
    <row r="299" spans="2:18" x14ac:dyDescent="0.3">
      <c r="B299" s="11" t="s">
        <v>436</v>
      </c>
      <c r="C299" s="11">
        <v>78.709999999999994</v>
      </c>
      <c r="D299" s="11">
        <v>78.709999999999994</v>
      </c>
      <c r="E299" s="11">
        <v>76.510000000000005</v>
      </c>
      <c r="F299" s="11">
        <v>2.2000000000000002</v>
      </c>
      <c r="G299" s="10">
        <v>8.98</v>
      </c>
      <c r="H299" s="11">
        <v>200</v>
      </c>
      <c r="I299" s="11">
        <v>77.510000000000005</v>
      </c>
      <c r="J299" s="11"/>
      <c r="K299" s="11"/>
      <c r="L299" s="11">
        <v>200</v>
      </c>
      <c r="M299" s="11" t="s">
        <v>437</v>
      </c>
      <c r="N299" s="11">
        <v>76.930000000000007</v>
      </c>
      <c r="O299" s="11">
        <v>76.930000000000007</v>
      </c>
      <c r="P299" s="11">
        <v>77.510000000000005</v>
      </c>
      <c r="Q299" s="11"/>
      <c r="R299" s="11" t="s">
        <v>1221</v>
      </c>
    </row>
    <row r="300" spans="2:18" x14ac:dyDescent="0.3">
      <c r="B300" s="11" t="s">
        <v>438</v>
      </c>
      <c r="C300" s="11">
        <v>77.03</v>
      </c>
      <c r="D300" s="11">
        <v>77.03</v>
      </c>
      <c r="E300" s="11">
        <v>74.58</v>
      </c>
      <c r="F300" s="11">
        <v>2.4500000000000002</v>
      </c>
      <c r="G300" s="10">
        <v>9</v>
      </c>
      <c r="H300" s="11">
        <v>200</v>
      </c>
      <c r="I300" s="11">
        <v>75.58</v>
      </c>
      <c r="J300" s="11"/>
      <c r="K300" s="11"/>
      <c r="L300" s="11">
        <v>200</v>
      </c>
      <c r="M300" s="11" t="s">
        <v>439</v>
      </c>
      <c r="N300" s="11">
        <v>75.150000000000006</v>
      </c>
      <c r="O300" s="11">
        <v>75.150000000000006</v>
      </c>
      <c r="P300" s="11">
        <v>75.58</v>
      </c>
      <c r="Q300" s="11"/>
      <c r="R300" s="11" t="s">
        <v>1221</v>
      </c>
    </row>
    <row r="301" spans="2:18" x14ac:dyDescent="0.3">
      <c r="B301" s="15" t="s">
        <v>440</v>
      </c>
      <c r="C301" s="15">
        <v>59.81</v>
      </c>
      <c r="D301" s="15">
        <v>59.81</v>
      </c>
      <c r="E301" s="15">
        <v>57.61</v>
      </c>
      <c r="F301" s="15">
        <v>2.2000000000000002</v>
      </c>
      <c r="G301" s="15">
        <v>9</v>
      </c>
      <c r="H301" s="15">
        <v>200</v>
      </c>
      <c r="I301" s="15">
        <v>58.61</v>
      </c>
      <c r="J301" s="15"/>
      <c r="K301" s="15"/>
      <c r="L301" s="15">
        <v>200</v>
      </c>
      <c r="M301" s="15" t="s">
        <v>441</v>
      </c>
      <c r="N301" s="15">
        <v>57.56</v>
      </c>
      <c r="O301" s="15">
        <v>57.56</v>
      </c>
      <c r="P301" s="15">
        <v>58.61</v>
      </c>
      <c r="Q301" s="15"/>
      <c r="R301" s="11" t="s">
        <v>1221</v>
      </c>
    </row>
    <row r="302" spans="2:18" x14ac:dyDescent="0.3">
      <c r="B302" s="11" t="s">
        <v>442</v>
      </c>
      <c r="C302" s="11">
        <v>59.48</v>
      </c>
      <c r="D302" s="11">
        <v>59.48</v>
      </c>
      <c r="E302" s="11">
        <v>57.28</v>
      </c>
      <c r="F302" s="11">
        <v>2.2000000000000002</v>
      </c>
      <c r="G302" s="10">
        <v>9</v>
      </c>
      <c r="H302" s="11">
        <v>200</v>
      </c>
      <c r="I302" s="11">
        <v>58.28</v>
      </c>
      <c r="J302" s="11"/>
      <c r="K302" s="11"/>
      <c r="L302" s="11">
        <v>200</v>
      </c>
      <c r="M302" s="11" t="s">
        <v>443</v>
      </c>
      <c r="N302" s="11">
        <v>57.78</v>
      </c>
      <c r="O302" s="11">
        <v>57.78</v>
      </c>
      <c r="P302" s="11">
        <v>58.28</v>
      </c>
      <c r="Q302" s="11"/>
      <c r="R302" s="11" t="s">
        <v>1221</v>
      </c>
    </row>
    <row r="303" spans="2:18" x14ac:dyDescent="0.3">
      <c r="B303" s="11" t="s">
        <v>444</v>
      </c>
      <c r="C303" s="11">
        <v>58.65</v>
      </c>
      <c r="D303" s="11">
        <v>58.65</v>
      </c>
      <c r="E303" s="11">
        <v>56.45</v>
      </c>
      <c r="F303" s="11">
        <v>2.2000000000000002</v>
      </c>
      <c r="G303" s="10">
        <v>9</v>
      </c>
      <c r="H303" s="11">
        <v>200</v>
      </c>
      <c r="I303" s="11">
        <v>57.45</v>
      </c>
      <c r="J303" s="11"/>
      <c r="K303" s="11"/>
      <c r="L303" s="11">
        <v>200</v>
      </c>
      <c r="M303" s="11" t="s">
        <v>445</v>
      </c>
      <c r="N303" s="11">
        <v>56.35</v>
      </c>
      <c r="O303" s="11">
        <v>56.35</v>
      </c>
      <c r="P303" s="11">
        <v>57.45</v>
      </c>
      <c r="Q303" s="11"/>
      <c r="R303" s="11" t="s">
        <v>1221</v>
      </c>
    </row>
    <row r="304" spans="2:18" x14ac:dyDescent="0.3">
      <c r="B304" s="11" t="s">
        <v>446</v>
      </c>
      <c r="C304" s="11">
        <v>58.3</v>
      </c>
      <c r="D304" s="11">
        <v>58.3</v>
      </c>
      <c r="E304" s="11">
        <v>56.1</v>
      </c>
      <c r="F304" s="11">
        <v>2.2000000000000002</v>
      </c>
      <c r="G304" s="10">
        <v>9</v>
      </c>
      <c r="H304" s="11">
        <v>200</v>
      </c>
      <c r="I304" s="11">
        <v>57.1</v>
      </c>
      <c r="J304" s="11"/>
      <c r="K304" s="11"/>
      <c r="L304" s="11">
        <v>200</v>
      </c>
      <c r="M304" s="11" t="s">
        <v>447</v>
      </c>
      <c r="N304" s="11">
        <v>56.5</v>
      </c>
      <c r="O304" s="11">
        <v>56.5</v>
      </c>
      <c r="P304" s="11">
        <v>57.1</v>
      </c>
      <c r="Q304" s="11"/>
      <c r="R304" s="11" t="s">
        <v>1221</v>
      </c>
    </row>
    <row r="305" spans="2:18" x14ac:dyDescent="0.3">
      <c r="B305" s="11" t="s">
        <v>448</v>
      </c>
      <c r="C305" s="11">
        <v>57.43</v>
      </c>
      <c r="D305" s="11">
        <v>57.43</v>
      </c>
      <c r="E305" s="11">
        <v>55.23</v>
      </c>
      <c r="F305" s="11">
        <v>2.2000000000000002</v>
      </c>
      <c r="G305" s="10">
        <v>8.9700000000000006</v>
      </c>
      <c r="H305" s="11">
        <v>200</v>
      </c>
      <c r="I305" s="11">
        <v>56.23</v>
      </c>
      <c r="J305" s="11"/>
      <c r="K305" s="11"/>
      <c r="L305" s="11">
        <v>200</v>
      </c>
      <c r="M305" s="11" t="s">
        <v>449</v>
      </c>
      <c r="N305" s="11">
        <v>55.01</v>
      </c>
      <c r="O305" s="11">
        <v>55.01</v>
      </c>
      <c r="P305" s="11">
        <v>56.23</v>
      </c>
      <c r="Q305" s="11"/>
      <c r="R305" s="11" t="s">
        <v>1221</v>
      </c>
    </row>
    <row r="306" spans="2:18" x14ac:dyDescent="0.3">
      <c r="B306" s="11" t="s">
        <v>450</v>
      </c>
      <c r="C306" s="11">
        <v>57.11</v>
      </c>
      <c r="D306" s="11">
        <v>57.11</v>
      </c>
      <c r="E306" s="11">
        <v>54.91</v>
      </c>
      <c r="F306" s="11">
        <v>2.2000000000000002</v>
      </c>
      <c r="G306" s="10">
        <v>9.02</v>
      </c>
      <c r="H306" s="11">
        <v>200</v>
      </c>
      <c r="I306" s="11">
        <v>55.91</v>
      </c>
      <c r="J306" s="11"/>
      <c r="K306" s="11"/>
      <c r="L306" s="11">
        <v>200</v>
      </c>
      <c r="M306" s="11" t="s">
        <v>451</v>
      </c>
      <c r="N306" s="11">
        <v>55.2</v>
      </c>
      <c r="O306" s="11">
        <v>55.2</v>
      </c>
      <c r="P306" s="11">
        <v>55.91</v>
      </c>
      <c r="Q306" s="11"/>
      <c r="R306" s="11" t="s">
        <v>1221</v>
      </c>
    </row>
    <row r="307" spans="2:18" x14ac:dyDescent="0.3">
      <c r="B307" s="11" t="s">
        <v>452</v>
      </c>
      <c r="C307" s="11">
        <v>56.07</v>
      </c>
      <c r="D307" s="11">
        <v>56.07</v>
      </c>
      <c r="E307" s="11">
        <v>53.87</v>
      </c>
      <c r="F307" s="11">
        <v>2.2000000000000002</v>
      </c>
      <c r="G307" s="10">
        <v>9</v>
      </c>
      <c r="H307" s="11">
        <v>200</v>
      </c>
      <c r="I307" s="11">
        <v>54.87</v>
      </c>
      <c r="J307" s="11"/>
      <c r="K307" s="11"/>
      <c r="L307" s="11">
        <v>200</v>
      </c>
      <c r="M307" s="11" t="s">
        <v>453</v>
      </c>
      <c r="N307" s="11">
        <v>54.14</v>
      </c>
      <c r="O307" s="11">
        <v>54.14</v>
      </c>
      <c r="P307" s="11">
        <v>54.87</v>
      </c>
      <c r="Q307" s="11"/>
      <c r="R307" s="11" t="s">
        <v>1221</v>
      </c>
    </row>
    <row r="308" spans="2:18" x14ac:dyDescent="0.3">
      <c r="B308" s="11" t="s">
        <v>454</v>
      </c>
      <c r="C308" s="11">
        <v>56.2</v>
      </c>
      <c r="D308" s="11">
        <v>56.2</v>
      </c>
      <c r="E308" s="11">
        <v>54</v>
      </c>
      <c r="F308" s="11">
        <v>2.2000000000000002</v>
      </c>
      <c r="G308" s="10">
        <v>9.0399999999999991</v>
      </c>
      <c r="H308" s="11">
        <v>200</v>
      </c>
      <c r="I308" s="11">
        <v>55</v>
      </c>
      <c r="J308" s="11"/>
      <c r="K308" s="11"/>
      <c r="L308" s="11">
        <v>200</v>
      </c>
      <c r="M308" s="11" t="s">
        <v>455</v>
      </c>
      <c r="N308" s="11">
        <v>53.84</v>
      </c>
      <c r="O308" s="11">
        <v>53.84</v>
      </c>
      <c r="P308" s="11">
        <v>55</v>
      </c>
      <c r="Q308" s="11"/>
      <c r="R308" s="11" t="s">
        <v>1221</v>
      </c>
    </row>
    <row r="309" spans="2:18" x14ac:dyDescent="0.3">
      <c r="B309" s="11" t="s">
        <v>456</v>
      </c>
      <c r="C309" s="11">
        <v>55.29</v>
      </c>
      <c r="D309" s="11">
        <v>55.29</v>
      </c>
      <c r="E309" s="11">
        <v>53.09</v>
      </c>
      <c r="F309" s="11">
        <v>2.2000000000000002</v>
      </c>
      <c r="G309" s="10">
        <v>9</v>
      </c>
      <c r="H309" s="11">
        <v>200</v>
      </c>
      <c r="I309" s="11">
        <v>54.09</v>
      </c>
      <c r="J309" s="11"/>
      <c r="K309" s="11"/>
      <c r="L309" s="11">
        <v>200</v>
      </c>
      <c r="M309" s="11" t="s">
        <v>457</v>
      </c>
      <c r="N309" s="11">
        <v>53.38</v>
      </c>
      <c r="O309" s="11">
        <v>53.38</v>
      </c>
      <c r="P309" s="11">
        <v>54.09</v>
      </c>
      <c r="Q309" s="11"/>
      <c r="R309" s="11" t="s">
        <v>1221</v>
      </c>
    </row>
    <row r="310" spans="2:18" x14ac:dyDescent="0.3">
      <c r="B310" s="11" t="s">
        <v>458</v>
      </c>
      <c r="C310" s="11">
        <v>54.73</v>
      </c>
      <c r="D310" s="11">
        <v>54.73</v>
      </c>
      <c r="E310" s="11">
        <v>52.53</v>
      </c>
      <c r="F310" s="11">
        <v>2.2000000000000002</v>
      </c>
      <c r="G310" s="10">
        <v>9</v>
      </c>
      <c r="H310" s="11">
        <v>200</v>
      </c>
      <c r="I310" s="11">
        <v>53.53</v>
      </c>
      <c r="J310" s="11"/>
      <c r="K310" s="11"/>
      <c r="L310" s="11">
        <v>200</v>
      </c>
      <c r="M310" s="11" t="s">
        <v>459</v>
      </c>
      <c r="N310" s="11">
        <v>52.79</v>
      </c>
      <c r="O310" s="11">
        <v>52.79</v>
      </c>
      <c r="P310" s="11">
        <v>53.53</v>
      </c>
      <c r="Q310" s="11"/>
      <c r="R310" s="11" t="s">
        <v>1221</v>
      </c>
    </row>
    <row r="311" spans="2:18" x14ac:dyDescent="0.3">
      <c r="B311" s="11" t="s">
        <v>460</v>
      </c>
      <c r="C311" s="11">
        <v>54.42</v>
      </c>
      <c r="D311" s="11">
        <v>54.42</v>
      </c>
      <c r="E311" s="11">
        <v>51.81</v>
      </c>
      <c r="F311" s="11">
        <v>2.61</v>
      </c>
      <c r="G311" s="10">
        <v>9</v>
      </c>
      <c r="H311" s="11">
        <v>200</v>
      </c>
      <c r="I311" s="11">
        <v>52.81</v>
      </c>
      <c r="J311" s="11"/>
      <c r="K311" s="11"/>
      <c r="L311" s="11">
        <v>200</v>
      </c>
      <c r="M311" s="11" t="s">
        <v>461</v>
      </c>
      <c r="N311" s="11">
        <v>51.94</v>
      </c>
      <c r="O311" s="11">
        <v>51.94</v>
      </c>
      <c r="P311" s="11">
        <v>52.81</v>
      </c>
      <c r="Q311" s="11"/>
      <c r="R311" s="11" t="s">
        <v>1221</v>
      </c>
    </row>
    <row r="312" spans="2:18" x14ac:dyDescent="0.3">
      <c r="B312" s="11" t="s">
        <v>462</v>
      </c>
      <c r="C312" s="11">
        <v>54.33</v>
      </c>
      <c r="D312" s="11">
        <v>54.33</v>
      </c>
      <c r="E312" s="11">
        <v>52.13</v>
      </c>
      <c r="F312" s="11">
        <v>2.2000000000000002</v>
      </c>
      <c r="G312" s="10">
        <v>9</v>
      </c>
      <c r="H312" s="11">
        <v>200</v>
      </c>
      <c r="I312" s="11">
        <v>53.13</v>
      </c>
      <c r="J312" s="11"/>
      <c r="K312" s="11"/>
      <c r="L312" s="11">
        <v>200</v>
      </c>
      <c r="M312" s="11" t="s">
        <v>463</v>
      </c>
      <c r="N312" s="11">
        <v>52.18</v>
      </c>
      <c r="O312" s="11">
        <v>52.18</v>
      </c>
      <c r="P312" s="11">
        <v>53.13</v>
      </c>
      <c r="Q312" s="11"/>
      <c r="R312" s="11" t="s">
        <v>1221</v>
      </c>
    </row>
    <row r="313" spans="2:18" x14ac:dyDescent="0.3">
      <c r="B313" s="11" t="s">
        <v>464</v>
      </c>
      <c r="C313" s="11">
        <v>56.18</v>
      </c>
      <c r="D313" s="11">
        <v>56.18</v>
      </c>
      <c r="E313" s="11">
        <v>53.98</v>
      </c>
      <c r="F313" s="11">
        <v>2.2000000000000002</v>
      </c>
      <c r="G313" s="10">
        <v>9</v>
      </c>
      <c r="H313" s="11">
        <v>200</v>
      </c>
      <c r="I313" s="11">
        <v>54.98</v>
      </c>
      <c r="J313" s="11"/>
      <c r="K313" s="11"/>
      <c r="L313" s="11">
        <v>200</v>
      </c>
      <c r="M313" s="11" t="s">
        <v>465</v>
      </c>
      <c r="N313" s="11">
        <v>53.66</v>
      </c>
      <c r="O313" s="11">
        <v>53.66</v>
      </c>
      <c r="P313" s="11">
        <v>54.98</v>
      </c>
      <c r="Q313" s="11"/>
      <c r="R313" s="11" t="s">
        <v>1221</v>
      </c>
    </row>
    <row r="314" spans="2:18" x14ac:dyDescent="0.3">
      <c r="B314" s="11" t="s">
        <v>466</v>
      </c>
      <c r="C314" s="11">
        <v>56.33</v>
      </c>
      <c r="D314" s="11">
        <v>56.33</v>
      </c>
      <c r="E314" s="11">
        <v>54.13</v>
      </c>
      <c r="F314" s="11">
        <v>2.2000000000000002</v>
      </c>
      <c r="G314" s="10">
        <v>8.89</v>
      </c>
      <c r="H314" s="11">
        <v>200</v>
      </c>
      <c r="I314" s="11">
        <v>55.13</v>
      </c>
      <c r="J314" s="11"/>
      <c r="K314" s="11"/>
      <c r="L314" s="11">
        <v>200</v>
      </c>
      <c r="M314" s="11" t="s">
        <v>467</v>
      </c>
      <c r="N314" s="11">
        <v>53.96</v>
      </c>
      <c r="O314" s="11">
        <v>53.96</v>
      </c>
      <c r="P314" s="11">
        <v>55.13</v>
      </c>
      <c r="Q314" s="11"/>
      <c r="R314" s="11" t="s">
        <v>1221</v>
      </c>
    </row>
    <row r="315" spans="2:18" x14ac:dyDescent="0.3">
      <c r="B315" s="11" t="s">
        <v>468</v>
      </c>
      <c r="C315" s="11">
        <v>56.54</v>
      </c>
      <c r="D315" s="11">
        <v>56.54</v>
      </c>
      <c r="E315" s="11">
        <v>54.34</v>
      </c>
      <c r="F315" s="11">
        <v>2.2000000000000002</v>
      </c>
      <c r="G315" s="10">
        <v>9</v>
      </c>
      <c r="H315" s="11">
        <v>200</v>
      </c>
      <c r="I315" s="11">
        <v>55.34</v>
      </c>
      <c r="J315" s="11"/>
      <c r="K315" s="11"/>
      <c r="L315" s="11">
        <v>200</v>
      </c>
      <c r="M315" s="11" t="s">
        <v>469</v>
      </c>
      <c r="N315" s="11">
        <v>54.34</v>
      </c>
      <c r="O315" s="11">
        <v>54.34</v>
      </c>
      <c r="P315" s="11">
        <v>55.34</v>
      </c>
      <c r="Q315" s="11"/>
      <c r="R315" s="11" t="s">
        <v>1221</v>
      </c>
    </row>
    <row r="316" spans="2:18" x14ac:dyDescent="0.3">
      <c r="B316" s="11" t="s">
        <v>470</v>
      </c>
      <c r="C316" s="11">
        <v>56.65</v>
      </c>
      <c r="D316" s="11">
        <v>56.65</v>
      </c>
      <c r="E316" s="11">
        <v>54.45</v>
      </c>
      <c r="F316" s="11">
        <v>2.2000000000000002</v>
      </c>
      <c r="G316" s="10">
        <v>9</v>
      </c>
      <c r="H316" s="11">
        <v>200</v>
      </c>
      <c r="I316" s="11">
        <v>55.45</v>
      </c>
      <c r="J316" s="11"/>
      <c r="K316" s="11"/>
      <c r="L316" s="11">
        <v>200</v>
      </c>
      <c r="M316" s="11" t="s">
        <v>471</v>
      </c>
      <c r="N316" s="11">
        <v>54.7</v>
      </c>
      <c r="O316" s="11">
        <v>54.7</v>
      </c>
      <c r="P316" s="11">
        <v>55.45</v>
      </c>
      <c r="Q316" s="11"/>
      <c r="R316" s="11" t="s">
        <v>1221</v>
      </c>
    </row>
    <row r="317" spans="2:18" x14ac:dyDescent="0.3">
      <c r="B317" s="11" t="s">
        <v>472</v>
      </c>
      <c r="C317" s="11">
        <v>56.8</v>
      </c>
      <c r="D317" s="11">
        <v>56.8</v>
      </c>
      <c r="E317" s="11">
        <v>54.6</v>
      </c>
      <c r="F317" s="11">
        <v>2.2000000000000002</v>
      </c>
      <c r="G317" s="10">
        <v>8.81</v>
      </c>
      <c r="H317" s="11">
        <v>200</v>
      </c>
      <c r="I317" s="11">
        <v>55.6</v>
      </c>
      <c r="J317" s="11"/>
      <c r="K317" s="11"/>
      <c r="L317" s="11">
        <v>200</v>
      </c>
      <c r="M317" s="11" t="s">
        <v>473</v>
      </c>
      <c r="N317" s="11">
        <v>55.06</v>
      </c>
      <c r="O317" s="11">
        <v>55.06</v>
      </c>
      <c r="P317" s="11">
        <v>55.6</v>
      </c>
      <c r="Q317" s="11"/>
      <c r="R317" s="11" t="s">
        <v>1221</v>
      </c>
    </row>
    <row r="318" spans="2:18" x14ac:dyDescent="0.3">
      <c r="B318" s="11" t="s">
        <v>474</v>
      </c>
      <c r="C318" s="11">
        <v>56.96</v>
      </c>
      <c r="D318" s="11">
        <v>56.96</v>
      </c>
      <c r="E318" s="11">
        <v>54.76</v>
      </c>
      <c r="F318" s="11">
        <v>2.2000000000000002</v>
      </c>
      <c r="G318" s="10">
        <v>8.8800000000000008</v>
      </c>
      <c r="H318" s="11">
        <v>200</v>
      </c>
      <c r="I318" s="11">
        <v>55.76</v>
      </c>
      <c r="J318" s="11"/>
      <c r="K318" s="11"/>
      <c r="L318" s="11">
        <v>200</v>
      </c>
      <c r="M318" s="11" t="s">
        <v>475</v>
      </c>
      <c r="N318" s="11">
        <v>55.43</v>
      </c>
      <c r="O318" s="11">
        <v>55.43</v>
      </c>
      <c r="P318" s="11">
        <v>55.76</v>
      </c>
      <c r="Q318" s="11"/>
      <c r="R318" s="11" t="s">
        <v>1221</v>
      </c>
    </row>
    <row r="319" spans="2:18" x14ac:dyDescent="0.3">
      <c r="B319" s="11" t="s">
        <v>476</v>
      </c>
      <c r="C319" s="11">
        <v>57.11</v>
      </c>
      <c r="D319" s="11">
        <v>57.11</v>
      </c>
      <c r="E319" s="11">
        <v>54.91</v>
      </c>
      <c r="F319" s="11">
        <v>2.2000000000000002</v>
      </c>
      <c r="G319" s="10">
        <v>9</v>
      </c>
      <c r="H319" s="11">
        <v>200</v>
      </c>
      <c r="I319" s="11">
        <v>55.91</v>
      </c>
      <c r="J319" s="11"/>
      <c r="K319" s="11"/>
      <c r="L319" s="11">
        <v>200</v>
      </c>
      <c r="M319" s="11" t="s">
        <v>477</v>
      </c>
      <c r="N319" s="11">
        <v>55.58</v>
      </c>
      <c r="O319" s="11">
        <v>55.58</v>
      </c>
      <c r="P319" s="11">
        <v>55.91</v>
      </c>
      <c r="Q319" s="11"/>
      <c r="R319" s="11" t="s">
        <v>1221</v>
      </c>
    </row>
    <row r="320" spans="2:18" x14ac:dyDescent="0.3">
      <c r="B320" s="11" t="s">
        <v>478</v>
      </c>
      <c r="C320" s="11">
        <v>57.26</v>
      </c>
      <c r="D320" s="11">
        <v>57.26</v>
      </c>
      <c r="E320" s="11">
        <v>55.06</v>
      </c>
      <c r="F320" s="11">
        <v>2.2000000000000002</v>
      </c>
      <c r="G320" s="10">
        <v>9</v>
      </c>
      <c r="H320" s="11">
        <v>200</v>
      </c>
      <c r="I320" s="11">
        <v>56.06</v>
      </c>
      <c r="J320" s="11"/>
      <c r="K320" s="11"/>
      <c r="L320" s="11">
        <v>200</v>
      </c>
      <c r="M320" s="11" t="s">
        <v>479</v>
      </c>
      <c r="N320" s="11">
        <v>55.71</v>
      </c>
      <c r="O320" s="11">
        <v>55.71</v>
      </c>
      <c r="P320" s="11">
        <v>56.06</v>
      </c>
      <c r="Q320" s="11"/>
      <c r="R320" s="11" t="s">
        <v>1221</v>
      </c>
    </row>
    <row r="321" spans="2:18" x14ac:dyDescent="0.3">
      <c r="B321" s="11" t="s">
        <v>480</v>
      </c>
      <c r="C321" s="11">
        <v>57.43</v>
      </c>
      <c r="D321" s="11">
        <v>57.43</v>
      </c>
      <c r="E321" s="11">
        <v>55.23</v>
      </c>
      <c r="F321" s="11">
        <v>2.2000000000000002</v>
      </c>
      <c r="G321" s="10">
        <v>9</v>
      </c>
      <c r="H321" s="11">
        <v>200</v>
      </c>
      <c r="I321" s="11">
        <v>56.23</v>
      </c>
      <c r="J321" s="11"/>
      <c r="K321" s="11"/>
      <c r="L321" s="11">
        <v>200</v>
      </c>
      <c r="M321" s="11" t="s">
        <v>481</v>
      </c>
      <c r="N321" s="11">
        <v>55.87</v>
      </c>
      <c r="O321" s="11">
        <v>55.87</v>
      </c>
      <c r="P321" s="11">
        <v>56.23</v>
      </c>
      <c r="Q321" s="11"/>
      <c r="R321" s="11" t="s">
        <v>1221</v>
      </c>
    </row>
    <row r="322" spans="2:18" x14ac:dyDescent="0.3">
      <c r="B322" s="11" t="s">
        <v>482</v>
      </c>
      <c r="C322" s="11">
        <v>57.76</v>
      </c>
      <c r="D322" s="11">
        <v>57.76</v>
      </c>
      <c r="E322" s="11">
        <v>55.56</v>
      </c>
      <c r="F322" s="11">
        <v>2.2000000000000002</v>
      </c>
      <c r="G322" s="10">
        <v>8.94</v>
      </c>
      <c r="H322" s="11">
        <v>200</v>
      </c>
      <c r="I322" s="11">
        <v>56.56</v>
      </c>
      <c r="J322" s="11"/>
      <c r="K322" s="11"/>
      <c r="L322" s="11">
        <v>200</v>
      </c>
      <c r="M322" s="11" t="s">
        <v>483</v>
      </c>
      <c r="N322" s="11">
        <v>56.17</v>
      </c>
      <c r="O322" s="11">
        <v>56.17</v>
      </c>
      <c r="P322" s="11">
        <v>56.56</v>
      </c>
      <c r="Q322" s="11"/>
      <c r="R322" s="11" t="s">
        <v>1221</v>
      </c>
    </row>
    <row r="323" spans="2:18" x14ac:dyDescent="0.3">
      <c r="B323" s="11" t="s">
        <v>484</v>
      </c>
      <c r="C323" s="11">
        <v>58.27</v>
      </c>
      <c r="D323" s="11">
        <v>58.27</v>
      </c>
      <c r="E323" s="11">
        <v>56.07</v>
      </c>
      <c r="F323" s="11">
        <v>2.2000000000000002</v>
      </c>
      <c r="G323" s="10">
        <v>9</v>
      </c>
      <c r="H323" s="11">
        <v>200</v>
      </c>
      <c r="I323" s="11">
        <v>57.07</v>
      </c>
      <c r="J323" s="11"/>
      <c r="K323" s="11"/>
      <c r="L323" s="11">
        <v>200</v>
      </c>
      <c r="M323" s="11" t="s">
        <v>485</v>
      </c>
      <c r="N323" s="11">
        <v>56.65</v>
      </c>
      <c r="O323" s="11">
        <v>56.65</v>
      </c>
      <c r="P323" s="11">
        <v>57.07</v>
      </c>
      <c r="Q323" s="11"/>
      <c r="R323" s="11" t="s">
        <v>1221</v>
      </c>
    </row>
    <row r="324" spans="2:18" x14ac:dyDescent="0.3">
      <c r="B324" s="11" t="s">
        <v>486</v>
      </c>
      <c r="C324" s="11">
        <v>58.96</v>
      </c>
      <c r="D324" s="11">
        <v>58.96</v>
      </c>
      <c r="E324" s="11">
        <v>56.76</v>
      </c>
      <c r="F324" s="11">
        <v>2.2000000000000002</v>
      </c>
      <c r="G324" s="10">
        <v>9</v>
      </c>
      <c r="H324" s="11">
        <v>200</v>
      </c>
      <c r="I324" s="11">
        <v>57.76</v>
      </c>
      <c r="J324" s="11"/>
      <c r="K324" s="11"/>
      <c r="L324" s="11">
        <v>200</v>
      </c>
      <c r="M324" s="11" t="s">
        <v>487</v>
      </c>
      <c r="N324" s="11">
        <v>57.37</v>
      </c>
      <c r="O324" s="11">
        <v>57.37</v>
      </c>
      <c r="P324" s="11">
        <v>57.76</v>
      </c>
      <c r="Q324" s="11"/>
      <c r="R324" s="11" t="s">
        <v>1221</v>
      </c>
    </row>
    <row r="325" spans="2:18" x14ac:dyDescent="0.3">
      <c r="B325" s="11" t="s">
        <v>488</v>
      </c>
      <c r="C325" s="11">
        <v>59.83</v>
      </c>
      <c r="D325" s="11">
        <v>59.83</v>
      </c>
      <c r="E325" s="11">
        <v>57.63</v>
      </c>
      <c r="F325" s="11">
        <v>2.2000000000000002</v>
      </c>
      <c r="G325" s="10">
        <v>8.94</v>
      </c>
      <c r="H325" s="11">
        <v>200</v>
      </c>
      <c r="I325" s="11">
        <v>58.63</v>
      </c>
      <c r="J325" s="11"/>
      <c r="K325" s="11"/>
      <c r="L325" s="11">
        <v>200</v>
      </c>
      <c r="M325" s="11" t="s">
        <v>489</v>
      </c>
      <c r="N325" s="11">
        <v>58.02</v>
      </c>
      <c r="O325" s="11">
        <v>58.02</v>
      </c>
      <c r="P325" s="11">
        <v>58.63</v>
      </c>
      <c r="Q325" s="11"/>
      <c r="R325" s="11" t="s">
        <v>1221</v>
      </c>
    </row>
    <row r="326" spans="2:18" x14ac:dyDescent="0.3">
      <c r="B326" s="11" t="s">
        <v>490</v>
      </c>
      <c r="C326" s="11">
        <v>60.88</v>
      </c>
      <c r="D326" s="11">
        <v>60.88</v>
      </c>
      <c r="E326" s="11">
        <v>58.68</v>
      </c>
      <c r="F326" s="11">
        <v>2.2000000000000002</v>
      </c>
      <c r="G326" s="10">
        <v>9.0399999999999991</v>
      </c>
      <c r="H326" s="11">
        <v>200</v>
      </c>
      <c r="I326" s="11">
        <v>59.68</v>
      </c>
      <c r="J326" s="11"/>
      <c r="K326" s="11"/>
      <c r="L326" s="11">
        <v>200</v>
      </c>
      <c r="M326" s="11" t="s">
        <v>491</v>
      </c>
      <c r="N326" s="11">
        <v>58.67</v>
      </c>
      <c r="O326" s="11">
        <v>58.67</v>
      </c>
      <c r="P326" s="11">
        <v>59.68</v>
      </c>
      <c r="Q326" s="11"/>
      <c r="R326" s="11" t="s">
        <v>1221</v>
      </c>
    </row>
    <row r="327" spans="2:18" x14ac:dyDescent="0.3">
      <c r="B327" s="11" t="s">
        <v>492</v>
      </c>
      <c r="C327" s="11">
        <v>63.52</v>
      </c>
      <c r="D327" s="11">
        <v>63.52</v>
      </c>
      <c r="E327" s="11">
        <v>61.32</v>
      </c>
      <c r="F327" s="11">
        <v>2.2000000000000002</v>
      </c>
      <c r="G327" s="10">
        <v>9</v>
      </c>
      <c r="H327" s="11">
        <v>200</v>
      </c>
      <c r="I327" s="11">
        <v>62.32</v>
      </c>
      <c r="J327" s="11"/>
      <c r="K327" s="11"/>
      <c r="L327" s="11">
        <v>200</v>
      </c>
      <c r="M327" s="11" t="s">
        <v>493</v>
      </c>
      <c r="N327" s="11">
        <v>60.85</v>
      </c>
      <c r="O327" s="11">
        <v>60.85</v>
      </c>
      <c r="P327" s="11">
        <v>62.32</v>
      </c>
      <c r="Q327" s="11"/>
      <c r="R327" s="11" t="s">
        <v>1221</v>
      </c>
    </row>
    <row r="328" spans="2:18" x14ac:dyDescent="0.3">
      <c r="B328" s="11" t="s">
        <v>494</v>
      </c>
      <c r="C328" s="11">
        <v>65.010000000000005</v>
      </c>
      <c r="D328" s="11">
        <v>65.010000000000005</v>
      </c>
      <c r="E328" s="11">
        <v>62.81</v>
      </c>
      <c r="F328" s="11">
        <v>2.2000000000000002</v>
      </c>
      <c r="G328" s="10">
        <v>9</v>
      </c>
      <c r="H328" s="11">
        <v>200</v>
      </c>
      <c r="I328" s="11">
        <v>63.81</v>
      </c>
      <c r="J328" s="11"/>
      <c r="K328" s="11"/>
      <c r="L328" s="11">
        <v>200</v>
      </c>
      <c r="M328" s="11" t="s">
        <v>495</v>
      </c>
      <c r="N328" s="11">
        <v>62.26</v>
      </c>
      <c r="O328" s="11">
        <v>62.26</v>
      </c>
      <c r="P328" s="11">
        <v>63.81</v>
      </c>
      <c r="Q328" s="11"/>
      <c r="R328" s="11" t="s">
        <v>1221</v>
      </c>
    </row>
    <row r="329" spans="2:18" x14ac:dyDescent="0.3">
      <c r="B329" s="11" t="s">
        <v>496</v>
      </c>
      <c r="C329" s="11">
        <v>66.52</v>
      </c>
      <c r="D329" s="11">
        <v>66.52</v>
      </c>
      <c r="E329" s="11">
        <v>64.319999999999993</v>
      </c>
      <c r="F329" s="11">
        <v>2.2000000000000002</v>
      </c>
      <c r="G329" s="10">
        <v>9</v>
      </c>
      <c r="H329" s="11">
        <v>200</v>
      </c>
      <c r="I329" s="11">
        <v>65.319999999999993</v>
      </c>
      <c r="J329" s="11"/>
      <c r="K329" s="11"/>
      <c r="L329" s="11">
        <v>200</v>
      </c>
      <c r="M329" s="11" t="s">
        <v>497</v>
      </c>
      <c r="N329" s="11">
        <v>63.76</v>
      </c>
      <c r="O329" s="11">
        <v>63.76</v>
      </c>
      <c r="P329" s="11">
        <v>65.319999999999993</v>
      </c>
      <c r="Q329" s="11"/>
      <c r="R329" s="11" t="s">
        <v>1221</v>
      </c>
    </row>
    <row r="330" spans="2:18" x14ac:dyDescent="0.3">
      <c r="B330" s="11" t="s">
        <v>498</v>
      </c>
      <c r="C330" s="11">
        <v>68.010000000000005</v>
      </c>
      <c r="D330" s="11">
        <v>68.010000000000005</v>
      </c>
      <c r="E330" s="11">
        <v>65.81</v>
      </c>
      <c r="F330" s="11">
        <v>2.2000000000000002</v>
      </c>
      <c r="G330" s="10">
        <v>9</v>
      </c>
      <c r="H330" s="11">
        <v>200</v>
      </c>
      <c r="I330" s="11">
        <v>66.81</v>
      </c>
      <c r="J330" s="11"/>
      <c r="K330" s="11"/>
      <c r="L330" s="11">
        <v>200</v>
      </c>
      <c r="M330" s="11" t="s">
        <v>499</v>
      </c>
      <c r="N330" s="11">
        <v>65.3</v>
      </c>
      <c r="O330" s="11">
        <v>65.3</v>
      </c>
      <c r="P330" s="11">
        <v>66.81</v>
      </c>
      <c r="Q330" s="11"/>
      <c r="R330" s="11" t="s">
        <v>1221</v>
      </c>
    </row>
    <row r="331" spans="2:18" x14ac:dyDescent="0.3">
      <c r="B331" s="11" t="s">
        <v>500</v>
      </c>
      <c r="C331" s="11">
        <v>69.510000000000005</v>
      </c>
      <c r="D331" s="11">
        <v>69.510000000000005</v>
      </c>
      <c r="E331" s="11">
        <v>67.31</v>
      </c>
      <c r="F331" s="11">
        <v>2.2000000000000002</v>
      </c>
      <c r="G331" s="10">
        <v>9</v>
      </c>
      <c r="H331" s="11">
        <v>200</v>
      </c>
      <c r="I331" s="11">
        <v>68.31</v>
      </c>
      <c r="J331" s="11"/>
      <c r="K331" s="11"/>
      <c r="L331" s="11">
        <v>200</v>
      </c>
      <c r="M331" s="11" t="s">
        <v>501</v>
      </c>
      <c r="N331" s="11">
        <v>67.040000000000006</v>
      </c>
      <c r="O331" s="11">
        <v>67.040000000000006</v>
      </c>
      <c r="P331" s="11">
        <v>68.31</v>
      </c>
      <c r="Q331" s="11"/>
      <c r="R331" s="11" t="s">
        <v>1221</v>
      </c>
    </row>
    <row r="332" spans="2:18" x14ac:dyDescent="0.3">
      <c r="B332" s="11" t="s">
        <v>502</v>
      </c>
      <c r="C332" s="11">
        <v>71.010000000000005</v>
      </c>
      <c r="D332" s="11">
        <v>71.010000000000005</v>
      </c>
      <c r="E332" s="11">
        <v>68.81</v>
      </c>
      <c r="F332" s="11">
        <v>2.2000000000000002</v>
      </c>
      <c r="G332" s="10">
        <v>8.89</v>
      </c>
      <c r="H332" s="11">
        <v>200</v>
      </c>
      <c r="I332" s="11">
        <v>69.81</v>
      </c>
      <c r="J332" s="11"/>
      <c r="K332" s="11"/>
      <c r="L332" s="11">
        <v>200</v>
      </c>
      <c r="M332" s="11" t="s">
        <v>503</v>
      </c>
      <c r="N332" s="11">
        <v>68.8</v>
      </c>
      <c r="O332" s="11">
        <v>68.8</v>
      </c>
      <c r="P332" s="11">
        <v>69.81</v>
      </c>
      <c r="Q332" s="11"/>
      <c r="R332" s="11" t="s">
        <v>1221</v>
      </c>
    </row>
    <row r="333" spans="2:18" x14ac:dyDescent="0.3">
      <c r="B333" s="11" t="s">
        <v>504</v>
      </c>
      <c r="C333" s="11">
        <v>71.09</v>
      </c>
      <c r="D333" s="11">
        <v>71.09</v>
      </c>
      <c r="E333" s="11">
        <v>68.89</v>
      </c>
      <c r="F333" s="11">
        <v>2.2000000000000002</v>
      </c>
      <c r="G333" s="10">
        <v>9.0299999999999994</v>
      </c>
      <c r="H333" s="11">
        <v>200</v>
      </c>
      <c r="I333" s="11">
        <v>69.89</v>
      </c>
      <c r="J333" s="11"/>
      <c r="K333" s="11"/>
      <c r="L333" s="11">
        <v>200</v>
      </c>
      <c r="M333" s="11" t="s">
        <v>505</v>
      </c>
      <c r="N333" s="11">
        <v>68.64</v>
      </c>
      <c r="O333" s="11">
        <v>68.64</v>
      </c>
      <c r="P333" s="11">
        <v>69.89</v>
      </c>
      <c r="Q333" s="11"/>
      <c r="R333" s="11" t="s">
        <v>1221</v>
      </c>
    </row>
    <row r="334" spans="2:18" x14ac:dyDescent="0.3">
      <c r="B334" s="11" t="s">
        <v>506</v>
      </c>
      <c r="C334" s="11">
        <v>72.510000000000005</v>
      </c>
      <c r="D334" s="11">
        <v>72.510000000000005</v>
      </c>
      <c r="E334" s="11">
        <v>70.31</v>
      </c>
      <c r="F334" s="11">
        <v>2.2000000000000002</v>
      </c>
      <c r="G334" s="10">
        <v>9</v>
      </c>
      <c r="H334" s="11">
        <v>200</v>
      </c>
      <c r="I334" s="11">
        <v>71.31</v>
      </c>
      <c r="J334" s="11"/>
      <c r="K334" s="11"/>
      <c r="L334" s="11">
        <v>200</v>
      </c>
      <c r="M334" s="11" t="s">
        <v>507</v>
      </c>
      <c r="N334" s="11">
        <v>70.52</v>
      </c>
      <c r="O334" s="11">
        <v>70.52</v>
      </c>
      <c r="P334" s="11">
        <v>71.31</v>
      </c>
      <c r="Q334" s="11"/>
      <c r="R334" s="11" t="s">
        <v>1221</v>
      </c>
    </row>
    <row r="335" spans="2:18" x14ac:dyDescent="0.3">
      <c r="B335" s="11" t="s">
        <v>508</v>
      </c>
      <c r="C335" s="11">
        <v>72.52</v>
      </c>
      <c r="D335" s="11">
        <v>72.52</v>
      </c>
      <c r="E335" s="11">
        <v>70.319999999999993</v>
      </c>
      <c r="F335" s="11">
        <v>2.2000000000000002</v>
      </c>
      <c r="G335" s="10">
        <v>8.89</v>
      </c>
      <c r="H335" s="11">
        <v>200</v>
      </c>
      <c r="I335" s="11">
        <v>71.319999999999993</v>
      </c>
      <c r="J335" s="11"/>
      <c r="K335" s="11"/>
      <c r="L335" s="11">
        <v>200</v>
      </c>
      <c r="M335" s="11" t="s">
        <v>509</v>
      </c>
      <c r="N335" s="11">
        <v>70.36</v>
      </c>
      <c r="O335" s="11">
        <v>70.36</v>
      </c>
      <c r="P335" s="11">
        <v>71.319999999999993</v>
      </c>
      <c r="Q335" s="11"/>
      <c r="R335" s="11" t="s">
        <v>1221</v>
      </c>
    </row>
    <row r="336" spans="2:18" x14ac:dyDescent="0.3">
      <c r="B336" s="11" t="s">
        <v>510</v>
      </c>
      <c r="C336" s="11">
        <v>74.02</v>
      </c>
      <c r="D336" s="11">
        <v>74.02</v>
      </c>
      <c r="E336" s="11">
        <v>71.819999999999993</v>
      </c>
      <c r="F336" s="11">
        <v>2.2000000000000002</v>
      </c>
      <c r="G336" s="10">
        <v>8.81</v>
      </c>
      <c r="H336" s="11">
        <v>200</v>
      </c>
      <c r="I336" s="11">
        <v>72.819999999999993</v>
      </c>
      <c r="J336" s="11"/>
      <c r="K336" s="11"/>
      <c r="L336" s="11">
        <v>200</v>
      </c>
      <c r="M336" s="11" t="s">
        <v>511</v>
      </c>
      <c r="N336" s="11">
        <v>72.16</v>
      </c>
      <c r="O336" s="11">
        <v>72.16</v>
      </c>
      <c r="P336" s="11">
        <v>72.819999999999993</v>
      </c>
      <c r="Q336" s="11"/>
      <c r="R336" s="11" t="s">
        <v>1221</v>
      </c>
    </row>
    <row r="337" spans="2:18" x14ac:dyDescent="0.3">
      <c r="B337" s="11" t="s">
        <v>512</v>
      </c>
      <c r="C337" s="11">
        <v>74.02</v>
      </c>
      <c r="D337" s="11">
        <v>74.02</v>
      </c>
      <c r="E337" s="11">
        <v>71.819999999999993</v>
      </c>
      <c r="F337" s="11">
        <v>2.2000000000000002</v>
      </c>
      <c r="G337" s="10">
        <v>9</v>
      </c>
      <c r="H337" s="11">
        <v>200</v>
      </c>
      <c r="I337" s="11">
        <v>72.819999999999993</v>
      </c>
      <c r="J337" s="11"/>
      <c r="K337" s="11"/>
      <c r="L337" s="11">
        <v>200</v>
      </c>
      <c r="M337" s="11" t="s">
        <v>513</v>
      </c>
      <c r="N337" s="11">
        <v>72.28</v>
      </c>
      <c r="O337" s="11">
        <v>72.28</v>
      </c>
      <c r="P337" s="11">
        <v>72.819999999999993</v>
      </c>
      <c r="Q337" s="11"/>
      <c r="R337" s="11" t="s">
        <v>1221</v>
      </c>
    </row>
    <row r="338" spans="2:18" x14ac:dyDescent="0.3">
      <c r="B338" s="11" t="s">
        <v>514</v>
      </c>
      <c r="C338" s="11">
        <v>83.4</v>
      </c>
      <c r="D338" s="11">
        <v>83.4</v>
      </c>
      <c r="E338" s="11">
        <v>81.3</v>
      </c>
      <c r="F338" s="11">
        <v>2.1</v>
      </c>
      <c r="G338" s="10">
        <v>0.5</v>
      </c>
      <c r="H338" s="11">
        <v>200</v>
      </c>
      <c r="I338" s="11">
        <v>82.3</v>
      </c>
      <c r="J338" s="11"/>
      <c r="K338" s="11"/>
      <c r="L338" s="11">
        <v>200</v>
      </c>
      <c r="M338" s="11" t="s">
        <v>515</v>
      </c>
      <c r="N338" s="11">
        <v>82.25</v>
      </c>
      <c r="O338" s="11">
        <v>82.25</v>
      </c>
      <c r="P338" s="11">
        <v>82.3</v>
      </c>
      <c r="Q338" s="11"/>
      <c r="R338" s="11" t="s">
        <v>1167</v>
      </c>
    </row>
    <row r="339" spans="2:18" ht="15.75" customHeight="1" x14ac:dyDescent="0.3">
      <c r="B339" s="11" t="s">
        <v>516</v>
      </c>
      <c r="C339" s="11">
        <v>83.91</v>
      </c>
      <c r="D339" s="11">
        <v>83.91</v>
      </c>
      <c r="E339" s="11">
        <v>81.819999999999993</v>
      </c>
      <c r="F339" s="11">
        <v>2.09</v>
      </c>
      <c r="G339" s="10">
        <v>0.5</v>
      </c>
      <c r="H339" s="11">
        <v>200</v>
      </c>
      <c r="I339" s="11">
        <v>82.82</v>
      </c>
      <c r="J339" s="11"/>
      <c r="K339" s="11"/>
      <c r="L339" s="11">
        <v>200</v>
      </c>
      <c r="M339" s="11" t="s">
        <v>517</v>
      </c>
      <c r="N339" s="11">
        <v>82.77</v>
      </c>
      <c r="O339" s="11">
        <v>82.77</v>
      </c>
      <c r="P339" s="11">
        <v>82.82</v>
      </c>
      <c r="Q339" s="11"/>
      <c r="R339" s="11" t="s">
        <v>1167</v>
      </c>
    </row>
    <row r="340" spans="2:18" x14ac:dyDescent="0.3">
      <c r="B340" s="11" t="s">
        <v>518</v>
      </c>
      <c r="C340" s="11">
        <v>84.34</v>
      </c>
      <c r="D340" s="11">
        <v>84.34</v>
      </c>
      <c r="E340" s="11">
        <v>82.33</v>
      </c>
      <c r="F340" s="11">
        <v>2.0099999999999998</v>
      </c>
      <c r="G340" s="10">
        <v>2</v>
      </c>
      <c r="H340" s="11">
        <v>200</v>
      </c>
      <c r="I340" s="11">
        <v>83.33</v>
      </c>
      <c r="J340" s="11"/>
      <c r="K340" s="11"/>
      <c r="L340" s="11">
        <v>200</v>
      </c>
      <c r="M340" s="11" t="s">
        <v>519</v>
      </c>
      <c r="N340" s="11">
        <v>83.14</v>
      </c>
      <c r="O340" s="11">
        <v>83.14</v>
      </c>
      <c r="P340" s="11">
        <v>83.33</v>
      </c>
      <c r="Q340" s="11"/>
      <c r="R340" s="11" t="s">
        <v>1221</v>
      </c>
    </row>
    <row r="341" spans="2:18" x14ac:dyDescent="0.3">
      <c r="B341" s="11" t="s">
        <v>520</v>
      </c>
      <c r="C341" s="11">
        <v>84.69</v>
      </c>
      <c r="D341" s="11">
        <v>84.69</v>
      </c>
      <c r="E341" s="11">
        <v>82.44</v>
      </c>
      <c r="F341" s="11">
        <v>2.25</v>
      </c>
      <c r="G341" s="10">
        <v>2</v>
      </c>
      <c r="H341" s="11">
        <v>200</v>
      </c>
      <c r="I341" s="11">
        <v>83.44</v>
      </c>
      <c r="J341" s="11"/>
      <c r="K341" s="11"/>
      <c r="L341" s="11">
        <v>200</v>
      </c>
      <c r="M341" s="11" t="s">
        <v>521</v>
      </c>
      <c r="N341" s="11">
        <v>83.24</v>
      </c>
      <c r="O341" s="11">
        <v>83.24</v>
      </c>
      <c r="P341" s="11">
        <v>83.44</v>
      </c>
      <c r="Q341" s="11"/>
      <c r="R341" s="11" t="s">
        <v>1221</v>
      </c>
    </row>
    <row r="342" spans="2:18" x14ac:dyDescent="0.3">
      <c r="B342" s="11" t="s">
        <v>522</v>
      </c>
      <c r="C342" s="11">
        <v>83.67</v>
      </c>
      <c r="D342" s="11">
        <v>83.67</v>
      </c>
      <c r="E342" s="11">
        <v>81.349999999999994</v>
      </c>
      <c r="F342" s="11">
        <v>2.3199999999999998</v>
      </c>
      <c r="G342" s="10">
        <v>2</v>
      </c>
      <c r="H342" s="11">
        <v>200</v>
      </c>
      <c r="I342" s="11">
        <v>82.35</v>
      </c>
      <c r="J342" s="11"/>
      <c r="K342" s="11"/>
      <c r="L342" s="11">
        <v>200</v>
      </c>
      <c r="M342" s="11" t="s">
        <v>523</v>
      </c>
      <c r="N342" s="11">
        <v>82.16</v>
      </c>
      <c r="O342" s="11">
        <v>82.16</v>
      </c>
      <c r="P342" s="11">
        <v>82.35</v>
      </c>
      <c r="Q342" s="11"/>
      <c r="R342" s="11" t="s">
        <v>1221</v>
      </c>
    </row>
    <row r="343" spans="2:18" x14ac:dyDescent="0.3">
      <c r="B343" s="11" t="s">
        <v>524</v>
      </c>
      <c r="C343" s="11">
        <v>83.3</v>
      </c>
      <c r="D343" s="11">
        <v>83.3</v>
      </c>
      <c r="E343" s="11">
        <v>81.010000000000005</v>
      </c>
      <c r="F343" s="11">
        <v>2.29</v>
      </c>
      <c r="G343" s="10">
        <v>2</v>
      </c>
      <c r="H343" s="11">
        <v>200</v>
      </c>
      <c r="I343" s="11">
        <v>82.01</v>
      </c>
      <c r="J343" s="11"/>
      <c r="K343" s="11"/>
      <c r="L343" s="11">
        <v>200</v>
      </c>
      <c r="M343" s="11" t="s">
        <v>525</v>
      </c>
      <c r="N343" s="11">
        <v>81.819999999999993</v>
      </c>
      <c r="O343" s="11">
        <v>81.819999999999993</v>
      </c>
      <c r="P343" s="11">
        <v>82.01</v>
      </c>
      <c r="Q343" s="11"/>
      <c r="R343" s="11" t="s">
        <v>1221</v>
      </c>
    </row>
    <row r="344" spans="2:18" x14ac:dyDescent="0.3">
      <c r="B344" s="11" t="s">
        <v>526</v>
      </c>
      <c r="C344" s="11">
        <v>82.9</v>
      </c>
      <c r="D344" s="11">
        <v>82.9</v>
      </c>
      <c r="E344" s="11">
        <v>80.66</v>
      </c>
      <c r="F344" s="11">
        <v>2.2400000000000002</v>
      </c>
      <c r="G344" s="10">
        <v>2</v>
      </c>
      <c r="H344" s="11">
        <v>200</v>
      </c>
      <c r="I344" s="11">
        <v>81.66</v>
      </c>
      <c r="J344" s="11"/>
      <c r="K344" s="11"/>
      <c r="L344" s="11">
        <v>200</v>
      </c>
      <c r="M344" s="11" t="s">
        <v>527</v>
      </c>
      <c r="N344" s="11">
        <v>81.48</v>
      </c>
      <c r="O344" s="11">
        <v>81.48</v>
      </c>
      <c r="P344" s="11">
        <v>81.66</v>
      </c>
      <c r="Q344" s="11"/>
      <c r="R344" s="11" t="s">
        <v>1221</v>
      </c>
    </row>
    <row r="345" spans="2:18" x14ac:dyDescent="0.3">
      <c r="B345" s="11" t="s">
        <v>528</v>
      </c>
      <c r="C345" s="11">
        <v>82.85</v>
      </c>
      <c r="D345" s="11">
        <v>82.85</v>
      </c>
      <c r="E345" s="11">
        <v>80.489999999999995</v>
      </c>
      <c r="F345" s="11">
        <v>2.36</v>
      </c>
      <c r="G345" s="10">
        <v>9</v>
      </c>
      <c r="H345" s="11">
        <v>200</v>
      </c>
      <c r="I345" s="11">
        <v>81.489999999999995</v>
      </c>
      <c r="J345" s="11"/>
      <c r="K345" s="11"/>
      <c r="L345" s="11">
        <v>200</v>
      </c>
      <c r="M345" s="11" t="s">
        <v>529</v>
      </c>
      <c r="N345" s="11">
        <v>81.19</v>
      </c>
      <c r="O345" s="11">
        <v>81.19</v>
      </c>
      <c r="P345" s="11">
        <v>81.489999999999995</v>
      </c>
      <c r="Q345" s="11"/>
      <c r="R345" s="11" t="s">
        <v>1221</v>
      </c>
    </row>
    <row r="346" spans="2:18" x14ac:dyDescent="0.3">
      <c r="B346" s="11" t="s">
        <v>530</v>
      </c>
      <c r="C346" s="11">
        <v>82.8</v>
      </c>
      <c r="D346" s="11">
        <v>82.8</v>
      </c>
      <c r="E346" s="11">
        <v>80.599999999999994</v>
      </c>
      <c r="F346" s="11">
        <v>2.2000000000000002</v>
      </c>
      <c r="G346" s="10">
        <v>9</v>
      </c>
      <c r="H346" s="11">
        <v>200</v>
      </c>
      <c r="I346" s="11">
        <v>81.599999999999994</v>
      </c>
      <c r="J346" s="11"/>
      <c r="K346" s="11"/>
      <c r="L346" s="11">
        <v>200</v>
      </c>
      <c r="M346" s="11" t="s">
        <v>531</v>
      </c>
      <c r="N346" s="11">
        <v>81.28</v>
      </c>
      <c r="O346" s="11">
        <v>81.28</v>
      </c>
      <c r="P346" s="11">
        <v>81.599999999999994</v>
      </c>
      <c r="Q346" s="11"/>
      <c r="R346" s="11" t="s">
        <v>1221</v>
      </c>
    </row>
    <row r="347" spans="2:18" x14ac:dyDescent="0.3">
      <c r="B347" s="11" t="s">
        <v>532</v>
      </c>
      <c r="C347" s="11">
        <v>83.06</v>
      </c>
      <c r="D347" s="11">
        <v>83.06</v>
      </c>
      <c r="E347" s="11">
        <v>80.86</v>
      </c>
      <c r="F347" s="11">
        <v>2.2000000000000002</v>
      </c>
      <c r="G347" s="10">
        <v>9</v>
      </c>
      <c r="H347" s="11">
        <v>200</v>
      </c>
      <c r="I347" s="11">
        <v>81.86</v>
      </c>
      <c r="J347" s="11"/>
      <c r="K347" s="11"/>
      <c r="L347" s="11">
        <v>200</v>
      </c>
      <c r="M347" s="11" t="s">
        <v>533</v>
      </c>
      <c r="N347" s="11">
        <v>81.510000000000005</v>
      </c>
      <c r="O347" s="11">
        <v>81.510000000000005</v>
      </c>
      <c r="P347" s="11">
        <v>81.86</v>
      </c>
      <c r="Q347" s="11"/>
      <c r="R347" s="11" t="s">
        <v>1221</v>
      </c>
    </row>
    <row r="348" spans="2:18" x14ac:dyDescent="0.3">
      <c r="B348" s="11" t="s">
        <v>534</v>
      </c>
      <c r="C348" s="11">
        <v>83.06</v>
      </c>
      <c r="D348" s="11">
        <v>83.06</v>
      </c>
      <c r="E348" s="11">
        <v>80.86</v>
      </c>
      <c r="F348" s="11">
        <v>2.2000000000000002</v>
      </c>
      <c r="G348" s="10">
        <v>9</v>
      </c>
      <c r="H348" s="11">
        <v>200</v>
      </c>
      <c r="I348" s="11">
        <v>81.86</v>
      </c>
      <c r="J348" s="11"/>
      <c r="K348" s="11"/>
      <c r="L348" s="11">
        <v>200</v>
      </c>
      <c r="M348" s="11" t="s">
        <v>535</v>
      </c>
      <c r="N348" s="11">
        <v>81.53</v>
      </c>
      <c r="O348" s="11">
        <v>81.53</v>
      </c>
      <c r="P348" s="11">
        <v>81.86</v>
      </c>
      <c r="Q348" s="11"/>
      <c r="R348" s="11" t="s">
        <v>1221</v>
      </c>
    </row>
    <row r="349" spans="2:18" x14ac:dyDescent="0.3">
      <c r="B349" s="11" t="s">
        <v>536</v>
      </c>
      <c r="C349" s="11">
        <v>88.01</v>
      </c>
      <c r="D349" s="11">
        <v>88.01</v>
      </c>
      <c r="E349" s="11">
        <v>85.81</v>
      </c>
      <c r="F349" s="11">
        <v>2.2000000000000002</v>
      </c>
      <c r="G349" s="10">
        <v>9</v>
      </c>
      <c r="H349" s="11">
        <v>200</v>
      </c>
      <c r="I349" s="11">
        <v>86.81</v>
      </c>
      <c r="J349" s="11"/>
      <c r="K349" s="11"/>
      <c r="L349" s="11">
        <v>200</v>
      </c>
      <c r="M349" s="11" t="s">
        <v>537</v>
      </c>
      <c r="N349" s="11">
        <v>86.42</v>
      </c>
      <c r="O349" s="11">
        <v>86.42</v>
      </c>
      <c r="P349" s="11">
        <v>86.81</v>
      </c>
      <c r="Q349" s="11"/>
      <c r="R349" s="11" t="s">
        <v>1221</v>
      </c>
    </row>
    <row r="350" spans="2:18" x14ac:dyDescent="0.3">
      <c r="B350" s="11" t="s">
        <v>538</v>
      </c>
      <c r="C350" s="11">
        <v>88.01</v>
      </c>
      <c r="D350" s="11">
        <v>88.01</v>
      </c>
      <c r="E350" s="11">
        <v>85.81</v>
      </c>
      <c r="F350" s="11">
        <v>2.2000000000000002</v>
      </c>
      <c r="G350" s="10">
        <v>9</v>
      </c>
      <c r="H350" s="11">
        <v>200</v>
      </c>
      <c r="I350" s="11">
        <v>86.81</v>
      </c>
      <c r="J350" s="11"/>
      <c r="K350" s="11"/>
      <c r="L350" s="11">
        <v>200</v>
      </c>
      <c r="M350" s="11" t="s">
        <v>539</v>
      </c>
      <c r="N350" s="11">
        <v>86.33</v>
      </c>
      <c r="O350" s="11">
        <v>86.33</v>
      </c>
      <c r="P350" s="11">
        <v>86.81</v>
      </c>
      <c r="Q350" s="11"/>
      <c r="R350" s="11" t="s">
        <v>1221</v>
      </c>
    </row>
    <row r="351" spans="2:18" x14ac:dyDescent="0.3">
      <c r="B351" s="11" t="s">
        <v>540</v>
      </c>
      <c r="C351" s="11">
        <v>87.85</v>
      </c>
      <c r="D351" s="11">
        <v>87.85</v>
      </c>
      <c r="E351" s="11">
        <v>85.65</v>
      </c>
      <c r="F351" s="11">
        <v>2.2000000000000002</v>
      </c>
      <c r="G351" s="10">
        <v>9</v>
      </c>
      <c r="H351" s="11">
        <v>200</v>
      </c>
      <c r="I351" s="11">
        <v>86.65</v>
      </c>
      <c r="J351" s="11"/>
      <c r="K351" s="11"/>
      <c r="L351" s="11">
        <v>200</v>
      </c>
      <c r="M351" s="11" t="s">
        <v>541</v>
      </c>
      <c r="N351" s="11">
        <v>86.23</v>
      </c>
      <c r="O351" s="11">
        <v>86.23</v>
      </c>
      <c r="P351" s="11">
        <v>86.65</v>
      </c>
      <c r="Q351" s="11"/>
      <c r="R351" s="11" t="s">
        <v>1221</v>
      </c>
    </row>
    <row r="352" spans="2:18" x14ac:dyDescent="0.3">
      <c r="B352" s="11" t="s">
        <v>542</v>
      </c>
      <c r="C352" s="11">
        <v>87.68</v>
      </c>
      <c r="D352" s="11">
        <v>87.68</v>
      </c>
      <c r="E352" s="11">
        <v>85.26</v>
      </c>
      <c r="F352" s="11">
        <v>2.42</v>
      </c>
      <c r="G352" s="10">
        <v>9</v>
      </c>
      <c r="H352" s="11">
        <v>200</v>
      </c>
      <c r="I352" s="11">
        <v>86.26</v>
      </c>
      <c r="J352" s="11"/>
      <c r="K352" s="11"/>
      <c r="L352" s="11">
        <v>200</v>
      </c>
      <c r="M352" s="11" t="s">
        <v>543</v>
      </c>
      <c r="N352" s="11">
        <v>85.88</v>
      </c>
      <c r="O352" s="11">
        <v>85.88</v>
      </c>
      <c r="P352" s="11">
        <v>86.26</v>
      </c>
      <c r="Q352" s="11"/>
      <c r="R352" s="11" t="s">
        <v>1221</v>
      </c>
    </row>
    <row r="353" spans="2:18" x14ac:dyDescent="0.3">
      <c r="B353" s="11" t="s">
        <v>544</v>
      </c>
      <c r="C353" s="11">
        <v>87.2</v>
      </c>
      <c r="D353" s="11">
        <v>87.2</v>
      </c>
      <c r="E353" s="11">
        <v>85.02</v>
      </c>
      <c r="F353" s="11">
        <v>2.1800000000000002</v>
      </c>
      <c r="G353" s="10">
        <v>2</v>
      </c>
      <c r="H353" s="11">
        <v>200</v>
      </c>
      <c r="I353" s="11">
        <v>86.02</v>
      </c>
      <c r="J353" s="11"/>
      <c r="K353" s="11"/>
      <c r="L353" s="11">
        <v>200</v>
      </c>
      <c r="M353" s="11" t="s">
        <v>545</v>
      </c>
      <c r="N353" s="11">
        <v>85.95</v>
      </c>
      <c r="O353" s="11">
        <v>85.95</v>
      </c>
      <c r="P353" s="11">
        <v>86.02</v>
      </c>
      <c r="Q353" s="11"/>
      <c r="R353" s="11" t="s">
        <v>1221</v>
      </c>
    </row>
    <row r="354" spans="2:18" x14ac:dyDescent="0.3">
      <c r="B354" s="11" t="s">
        <v>546</v>
      </c>
      <c r="C354" s="11">
        <v>85.58</v>
      </c>
      <c r="D354" s="11">
        <v>85.58</v>
      </c>
      <c r="E354" s="11">
        <v>83.38</v>
      </c>
      <c r="F354" s="11">
        <v>2.2000000000000002</v>
      </c>
      <c r="G354" s="10">
        <v>9</v>
      </c>
      <c r="H354" s="11">
        <v>200</v>
      </c>
      <c r="I354" s="11">
        <v>84.38</v>
      </c>
      <c r="J354" s="11"/>
      <c r="K354" s="11"/>
      <c r="L354" s="11">
        <v>200</v>
      </c>
      <c r="M354" s="11" t="s">
        <v>547</v>
      </c>
      <c r="N354" s="11">
        <v>83.81</v>
      </c>
      <c r="O354" s="11">
        <v>83.81</v>
      </c>
      <c r="P354" s="11">
        <v>84.38</v>
      </c>
      <c r="Q354" s="11"/>
      <c r="R354" s="11" t="s">
        <v>1221</v>
      </c>
    </row>
    <row r="355" spans="2:18" x14ac:dyDescent="0.3">
      <c r="B355" s="11" t="s">
        <v>548</v>
      </c>
      <c r="C355" s="11">
        <v>85.54</v>
      </c>
      <c r="D355" s="11">
        <v>85.54</v>
      </c>
      <c r="E355" s="11">
        <v>83.34</v>
      </c>
      <c r="F355" s="11">
        <v>2.2000000000000002</v>
      </c>
      <c r="G355" s="10">
        <v>9</v>
      </c>
      <c r="H355" s="11">
        <v>200</v>
      </c>
      <c r="I355" s="11">
        <v>84.34</v>
      </c>
      <c r="J355" s="11"/>
      <c r="K355" s="11"/>
      <c r="L355" s="11">
        <v>200</v>
      </c>
      <c r="M355" s="11" t="s">
        <v>549</v>
      </c>
      <c r="N355" s="11">
        <v>83.77</v>
      </c>
      <c r="O355" s="11">
        <v>83.77</v>
      </c>
      <c r="P355" s="11">
        <v>84.34</v>
      </c>
      <c r="Q355" s="11"/>
      <c r="R355" s="11" t="s">
        <v>1221</v>
      </c>
    </row>
    <row r="356" spans="2:18" x14ac:dyDescent="0.3">
      <c r="B356" s="11" t="s">
        <v>550</v>
      </c>
      <c r="C356" s="11">
        <v>84.76</v>
      </c>
      <c r="D356" s="11">
        <v>84.76</v>
      </c>
      <c r="E356" s="11">
        <v>82.56</v>
      </c>
      <c r="F356" s="11">
        <v>2.2000000000000002</v>
      </c>
      <c r="G356" s="10">
        <v>9</v>
      </c>
      <c r="H356" s="11">
        <v>200</v>
      </c>
      <c r="I356" s="11">
        <v>83.56</v>
      </c>
      <c r="J356" s="11"/>
      <c r="K356" s="11"/>
      <c r="L356" s="11">
        <v>200</v>
      </c>
      <c r="M356" s="11" t="s">
        <v>551</v>
      </c>
      <c r="N356" s="11">
        <v>83.03</v>
      </c>
      <c r="O356" s="11">
        <v>83.03</v>
      </c>
      <c r="P356" s="11">
        <v>83.56</v>
      </c>
      <c r="Q356" s="11"/>
      <c r="R356" s="11" t="s">
        <v>1221</v>
      </c>
    </row>
    <row r="357" spans="2:18" x14ac:dyDescent="0.3">
      <c r="B357" s="11" t="s">
        <v>552</v>
      </c>
      <c r="C357" s="11">
        <v>84.76</v>
      </c>
      <c r="D357" s="11">
        <v>84.76</v>
      </c>
      <c r="E357" s="11">
        <v>82.56</v>
      </c>
      <c r="F357" s="11">
        <v>2.2000000000000002</v>
      </c>
      <c r="G357" s="10">
        <v>8.9499999999999993</v>
      </c>
      <c r="H357" s="11">
        <v>200</v>
      </c>
      <c r="I357" s="11">
        <v>83.56</v>
      </c>
      <c r="J357" s="11"/>
      <c r="K357" s="11"/>
      <c r="L357" s="11">
        <v>200</v>
      </c>
      <c r="M357" s="11" t="s">
        <v>553</v>
      </c>
      <c r="N357" s="11">
        <v>83</v>
      </c>
      <c r="O357" s="11">
        <v>83</v>
      </c>
      <c r="P357" s="11">
        <v>83.56</v>
      </c>
      <c r="Q357" s="11"/>
      <c r="R357" s="11" t="s">
        <v>1221</v>
      </c>
    </row>
    <row r="358" spans="2:18" x14ac:dyDescent="0.3">
      <c r="B358" s="11" t="s">
        <v>554</v>
      </c>
      <c r="C358" s="11">
        <v>83.88</v>
      </c>
      <c r="D358" s="11">
        <v>83.88</v>
      </c>
      <c r="E358" s="11">
        <v>81.680000000000007</v>
      </c>
      <c r="F358" s="11">
        <v>2.2000000000000002</v>
      </c>
      <c r="G358" s="10">
        <v>9</v>
      </c>
      <c r="H358" s="11">
        <v>200</v>
      </c>
      <c r="I358" s="11">
        <v>82.68</v>
      </c>
      <c r="J358" s="11"/>
      <c r="K358" s="11"/>
      <c r="L358" s="11">
        <v>200</v>
      </c>
      <c r="M358" s="11" t="s">
        <v>555</v>
      </c>
      <c r="N358" s="11">
        <v>82.26</v>
      </c>
      <c r="O358" s="11">
        <v>82.26</v>
      </c>
      <c r="P358" s="11">
        <v>82.68</v>
      </c>
      <c r="Q358" s="11"/>
      <c r="R358" s="11" t="s">
        <v>1221</v>
      </c>
    </row>
    <row r="359" spans="2:18" x14ac:dyDescent="0.3">
      <c r="B359" s="11" t="s">
        <v>556</v>
      </c>
      <c r="C359" s="11">
        <v>83.87</v>
      </c>
      <c r="D359" s="11">
        <v>83.87</v>
      </c>
      <c r="E359" s="11">
        <v>81.67</v>
      </c>
      <c r="F359" s="11">
        <v>2.2000000000000002</v>
      </c>
      <c r="G359" s="10">
        <v>9</v>
      </c>
      <c r="H359" s="11">
        <v>200</v>
      </c>
      <c r="I359" s="11">
        <v>82.67</v>
      </c>
      <c r="J359" s="11"/>
      <c r="K359" s="11"/>
      <c r="L359" s="11">
        <v>200</v>
      </c>
      <c r="M359" s="11" t="s">
        <v>557</v>
      </c>
      <c r="N359" s="11">
        <v>82.21</v>
      </c>
      <c r="O359" s="11">
        <v>82.21</v>
      </c>
      <c r="P359" s="11">
        <v>82.67</v>
      </c>
      <c r="Q359" s="11"/>
      <c r="R359" s="11" t="s">
        <v>1221</v>
      </c>
    </row>
    <row r="360" spans="2:18" x14ac:dyDescent="0.3">
      <c r="B360" s="11" t="s">
        <v>558</v>
      </c>
      <c r="C360" s="11">
        <v>82.93</v>
      </c>
      <c r="D360" s="11">
        <v>82.93</v>
      </c>
      <c r="E360" s="11">
        <v>80.53</v>
      </c>
      <c r="F360" s="11">
        <v>2.4</v>
      </c>
      <c r="G360" s="10">
        <v>9</v>
      </c>
      <c r="H360" s="11">
        <v>200</v>
      </c>
      <c r="I360" s="11">
        <v>81.53</v>
      </c>
      <c r="J360" s="11"/>
      <c r="K360" s="11"/>
      <c r="L360" s="11">
        <v>200</v>
      </c>
      <c r="M360" s="11" t="s">
        <v>559</v>
      </c>
      <c r="N360" s="11">
        <v>80.97</v>
      </c>
      <c r="O360" s="11">
        <v>80.97</v>
      </c>
      <c r="P360" s="11">
        <v>81.53</v>
      </c>
      <c r="Q360" s="11"/>
      <c r="R360" s="11" t="s">
        <v>1221</v>
      </c>
    </row>
    <row r="361" spans="2:18" x14ac:dyDescent="0.3">
      <c r="B361" s="11" t="s">
        <v>560</v>
      </c>
      <c r="C361" s="11">
        <v>82.93</v>
      </c>
      <c r="D361" s="11">
        <v>82.93</v>
      </c>
      <c r="E361" s="11">
        <v>80.510000000000005</v>
      </c>
      <c r="F361" s="11">
        <v>2.42</v>
      </c>
      <c r="G361" s="10">
        <v>9</v>
      </c>
      <c r="H361" s="11">
        <v>200</v>
      </c>
      <c r="I361" s="11">
        <v>81.510000000000005</v>
      </c>
      <c r="J361" s="11"/>
      <c r="K361" s="11"/>
      <c r="L361" s="11">
        <v>200</v>
      </c>
      <c r="M361" s="11" t="s">
        <v>561</v>
      </c>
      <c r="N361" s="11">
        <v>80.95</v>
      </c>
      <c r="O361" s="11">
        <v>80.95</v>
      </c>
      <c r="P361" s="11">
        <v>81.510000000000005</v>
      </c>
      <c r="Q361" s="11"/>
      <c r="R361" s="11" t="s">
        <v>1221</v>
      </c>
    </row>
    <row r="362" spans="2:18" x14ac:dyDescent="0.3">
      <c r="B362" s="11" t="s">
        <v>562</v>
      </c>
      <c r="C362" s="11">
        <v>58.75</v>
      </c>
      <c r="D362" s="11">
        <v>58.75</v>
      </c>
      <c r="E362" s="11">
        <v>56.55</v>
      </c>
      <c r="F362" s="11">
        <v>2.2000000000000002</v>
      </c>
      <c r="G362" s="10">
        <v>9</v>
      </c>
      <c r="H362" s="11">
        <v>200</v>
      </c>
      <c r="I362" s="11">
        <v>57.55</v>
      </c>
      <c r="J362" s="11"/>
      <c r="K362" s="11"/>
      <c r="L362" s="11">
        <v>200</v>
      </c>
      <c r="M362" s="11" t="s">
        <v>563</v>
      </c>
      <c r="N362" s="11">
        <v>55.7</v>
      </c>
      <c r="O362" s="11">
        <v>55.7</v>
      </c>
      <c r="P362" s="11">
        <v>57.55</v>
      </c>
      <c r="Q362" s="11"/>
      <c r="R362" s="11" t="s">
        <v>1221</v>
      </c>
    </row>
    <row r="363" spans="2:18" x14ac:dyDescent="0.3">
      <c r="B363" s="11" t="s">
        <v>564</v>
      </c>
      <c r="C363" s="11">
        <v>58.75</v>
      </c>
      <c r="D363" s="11">
        <v>58.75</v>
      </c>
      <c r="E363" s="11">
        <v>56.55</v>
      </c>
      <c r="F363" s="11">
        <v>2.2000000000000002</v>
      </c>
      <c r="G363" s="10">
        <v>9</v>
      </c>
      <c r="H363" s="11">
        <v>200</v>
      </c>
      <c r="I363" s="11">
        <v>57.55</v>
      </c>
      <c r="J363" s="11"/>
      <c r="K363" s="11"/>
      <c r="L363" s="11">
        <v>200</v>
      </c>
      <c r="M363" s="11" t="s">
        <v>565</v>
      </c>
      <c r="N363" s="11">
        <v>55.81</v>
      </c>
      <c r="O363" s="11">
        <v>55.81</v>
      </c>
      <c r="P363" s="11">
        <v>57.55</v>
      </c>
      <c r="Q363" s="11"/>
      <c r="R363" s="11" t="s">
        <v>1221</v>
      </c>
    </row>
    <row r="364" spans="2:18" x14ac:dyDescent="0.3">
      <c r="B364" s="11" t="s">
        <v>566</v>
      </c>
      <c r="C364" s="11">
        <v>60.17</v>
      </c>
      <c r="D364" s="11">
        <v>60.17</v>
      </c>
      <c r="E364" s="11">
        <v>57.97</v>
      </c>
      <c r="F364" s="11">
        <v>2.2000000000000002</v>
      </c>
      <c r="G364" s="10">
        <v>9</v>
      </c>
      <c r="H364" s="11">
        <v>200</v>
      </c>
      <c r="I364" s="11">
        <v>58.97</v>
      </c>
      <c r="J364" s="11"/>
      <c r="K364" s="11"/>
      <c r="L364" s="11">
        <v>200</v>
      </c>
      <c r="M364" s="11" t="s">
        <v>567</v>
      </c>
      <c r="N364" s="11">
        <v>57.37</v>
      </c>
      <c r="O364" s="11">
        <v>57.37</v>
      </c>
      <c r="P364" s="11">
        <v>58.97</v>
      </c>
      <c r="Q364" s="11"/>
      <c r="R364" s="11" t="s">
        <v>1221</v>
      </c>
    </row>
    <row r="365" spans="2:18" x14ac:dyDescent="0.3">
      <c r="B365" s="11" t="s">
        <v>568</v>
      </c>
      <c r="C365" s="11">
        <v>60.25</v>
      </c>
      <c r="D365" s="11">
        <v>60.25</v>
      </c>
      <c r="E365" s="11">
        <v>58.05</v>
      </c>
      <c r="F365" s="11">
        <v>2.2000000000000002</v>
      </c>
      <c r="G365" s="10">
        <v>8.98</v>
      </c>
      <c r="H365" s="11">
        <v>200</v>
      </c>
      <c r="I365" s="11">
        <v>59.05</v>
      </c>
      <c r="J365" s="11"/>
      <c r="K365" s="11"/>
      <c r="L365" s="11">
        <v>200</v>
      </c>
      <c r="M365" s="11" t="s">
        <v>569</v>
      </c>
      <c r="N365" s="11">
        <v>57.7</v>
      </c>
      <c r="O365" s="11">
        <v>57.7</v>
      </c>
      <c r="P365" s="11">
        <v>59.05</v>
      </c>
      <c r="Q365" s="11"/>
      <c r="R365" s="11" t="s">
        <v>1221</v>
      </c>
    </row>
    <row r="366" spans="2:18" x14ac:dyDescent="0.3">
      <c r="B366" s="11" t="s">
        <v>570</v>
      </c>
      <c r="C366" s="11">
        <v>61.64</v>
      </c>
      <c r="D366" s="11">
        <v>61.64</v>
      </c>
      <c r="E366" s="11">
        <v>59.44</v>
      </c>
      <c r="F366" s="11">
        <v>2.2000000000000002</v>
      </c>
      <c r="G366" s="10">
        <v>9</v>
      </c>
      <c r="H366" s="11">
        <v>200</v>
      </c>
      <c r="I366" s="11">
        <v>60.44</v>
      </c>
      <c r="J366" s="11"/>
      <c r="K366" s="11"/>
      <c r="L366" s="11">
        <v>200</v>
      </c>
      <c r="M366" s="11" t="s">
        <v>571</v>
      </c>
      <c r="N366" s="11">
        <v>59.3</v>
      </c>
      <c r="O366" s="11">
        <v>59.3</v>
      </c>
      <c r="P366" s="11">
        <v>60.44</v>
      </c>
      <c r="Q366" s="11"/>
      <c r="R366" s="11" t="s">
        <v>1221</v>
      </c>
    </row>
    <row r="367" spans="2:18" x14ac:dyDescent="0.3">
      <c r="B367" s="11" t="s">
        <v>572</v>
      </c>
      <c r="C367" s="11">
        <v>63.14</v>
      </c>
      <c r="D367" s="11">
        <v>63.14</v>
      </c>
      <c r="E367" s="11">
        <v>60.94</v>
      </c>
      <c r="F367" s="11">
        <v>2.2000000000000002</v>
      </c>
      <c r="G367" s="10">
        <v>8.9499999999999993</v>
      </c>
      <c r="H367" s="11">
        <v>200</v>
      </c>
      <c r="I367" s="11">
        <v>61.94</v>
      </c>
      <c r="J367" s="11"/>
      <c r="K367" s="11"/>
      <c r="L367" s="11">
        <v>200</v>
      </c>
      <c r="M367" s="11" t="s">
        <v>573</v>
      </c>
      <c r="N367" s="11">
        <v>61.19</v>
      </c>
      <c r="O367" s="11">
        <v>61.19</v>
      </c>
      <c r="P367" s="11">
        <v>61.94</v>
      </c>
      <c r="Q367" s="11"/>
      <c r="R367" s="11" t="s">
        <v>1221</v>
      </c>
    </row>
    <row r="368" spans="2:18" x14ac:dyDescent="0.3">
      <c r="B368" s="11" t="s">
        <v>574</v>
      </c>
      <c r="C368" s="11">
        <v>87.04</v>
      </c>
      <c r="D368" s="11">
        <v>87.04</v>
      </c>
      <c r="E368" s="11">
        <v>84.24</v>
      </c>
      <c r="F368" s="11">
        <v>2.8</v>
      </c>
      <c r="G368" s="10">
        <v>15</v>
      </c>
      <c r="H368" s="11">
        <v>200</v>
      </c>
      <c r="I368" s="11">
        <v>85.24</v>
      </c>
      <c r="J368" s="11"/>
      <c r="K368" s="11"/>
      <c r="L368" s="11">
        <v>200</v>
      </c>
      <c r="M368" s="11" t="s">
        <v>575</v>
      </c>
      <c r="N368" s="11">
        <v>84.72</v>
      </c>
      <c r="O368" s="11">
        <v>84.72</v>
      </c>
      <c r="P368" s="11">
        <v>85.24</v>
      </c>
      <c r="Q368" s="11"/>
      <c r="R368" s="11" t="s">
        <v>1221</v>
      </c>
    </row>
    <row r="369" spans="2:18" x14ac:dyDescent="0.3">
      <c r="B369" s="11" t="s">
        <v>576</v>
      </c>
      <c r="C369" s="11">
        <v>87</v>
      </c>
      <c r="D369" s="11">
        <v>87</v>
      </c>
      <c r="E369" s="11">
        <v>84.32</v>
      </c>
      <c r="F369" s="11">
        <v>2.68</v>
      </c>
      <c r="G369" s="10">
        <v>15</v>
      </c>
      <c r="H369" s="11">
        <v>200</v>
      </c>
      <c r="I369" s="11">
        <v>85.32</v>
      </c>
      <c r="J369" s="11"/>
      <c r="K369" s="11"/>
      <c r="L369" s="11">
        <v>200</v>
      </c>
      <c r="M369" s="11" t="s">
        <v>577</v>
      </c>
      <c r="N369" s="11">
        <v>84.82</v>
      </c>
      <c r="O369" s="11">
        <v>84.82</v>
      </c>
      <c r="P369" s="11">
        <v>85.32</v>
      </c>
      <c r="Q369" s="11"/>
      <c r="R369" s="11" t="s">
        <v>1221</v>
      </c>
    </row>
    <row r="370" spans="2:18" x14ac:dyDescent="0.3">
      <c r="B370" s="11" t="s">
        <v>578</v>
      </c>
      <c r="C370" s="11">
        <v>86.82</v>
      </c>
      <c r="D370" s="11">
        <v>86.82</v>
      </c>
      <c r="E370" s="11">
        <v>84.28</v>
      </c>
      <c r="F370" s="11">
        <v>2.54</v>
      </c>
      <c r="G370" s="10">
        <v>15</v>
      </c>
      <c r="H370" s="11">
        <v>200</v>
      </c>
      <c r="I370" s="11">
        <v>85.28</v>
      </c>
      <c r="J370" s="11"/>
      <c r="K370" s="11"/>
      <c r="L370" s="11">
        <v>200</v>
      </c>
      <c r="M370" s="11" t="s">
        <v>579</v>
      </c>
      <c r="N370" s="11">
        <v>84.82</v>
      </c>
      <c r="O370" s="11">
        <v>84.82</v>
      </c>
      <c r="P370" s="11">
        <v>85.28</v>
      </c>
      <c r="Q370" s="11"/>
      <c r="R370" s="11" t="s">
        <v>1221</v>
      </c>
    </row>
    <row r="371" spans="2:18" x14ac:dyDescent="0.3">
      <c r="B371" s="11" t="s">
        <v>580</v>
      </c>
      <c r="C371" s="11">
        <v>86.64</v>
      </c>
      <c r="D371" s="11">
        <v>86.64</v>
      </c>
      <c r="E371" s="11">
        <v>84.15</v>
      </c>
      <c r="F371" s="11">
        <v>2.4900000000000002</v>
      </c>
      <c r="G371" s="10">
        <v>15</v>
      </c>
      <c r="H371" s="11">
        <v>200</v>
      </c>
      <c r="I371" s="11">
        <v>85.15</v>
      </c>
      <c r="J371" s="11"/>
      <c r="K371" s="11"/>
      <c r="L371" s="11">
        <v>200</v>
      </c>
      <c r="M371" s="11" t="s">
        <v>581</v>
      </c>
      <c r="N371" s="11">
        <v>84.69</v>
      </c>
      <c r="O371" s="11">
        <v>84.69</v>
      </c>
      <c r="P371" s="11">
        <v>85.15</v>
      </c>
      <c r="Q371" s="11"/>
      <c r="R371" s="11" t="s">
        <v>1221</v>
      </c>
    </row>
    <row r="372" spans="2:18" x14ac:dyDescent="0.3">
      <c r="B372" s="11" t="s">
        <v>582</v>
      </c>
      <c r="C372" s="11">
        <v>83.93</v>
      </c>
      <c r="D372" s="11">
        <v>83.93</v>
      </c>
      <c r="E372" s="11">
        <v>81.73</v>
      </c>
      <c r="F372" s="11">
        <v>2.2000000000000002</v>
      </c>
      <c r="G372" s="11">
        <v>2.37</v>
      </c>
      <c r="H372" s="11">
        <v>200</v>
      </c>
      <c r="I372" s="11">
        <v>82.73</v>
      </c>
      <c r="J372" s="11"/>
      <c r="K372" s="11"/>
      <c r="L372" s="11">
        <v>200</v>
      </c>
      <c r="M372" s="11" t="s">
        <v>583</v>
      </c>
      <c r="N372" s="11">
        <v>82.55</v>
      </c>
      <c r="O372" s="11">
        <v>82.55</v>
      </c>
      <c r="P372" s="11">
        <v>82.73</v>
      </c>
      <c r="Q372" s="11"/>
      <c r="R372" s="11" t="s">
        <v>1221</v>
      </c>
    </row>
    <row r="373" spans="2:18" x14ac:dyDescent="0.3">
      <c r="B373" s="11" t="s">
        <v>584</v>
      </c>
      <c r="C373" s="11">
        <v>44.55</v>
      </c>
      <c r="D373" s="11">
        <v>44.55</v>
      </c>
      <c r="E373" s="11">
        <v>42.73</v>
      </c>
      <c r="F373" s="11">
        <v>1.82</v>
      </c>
      <c r="G373" s="10">
        <v>0.5</v>
      </c>
      <c r="H373" s="11">
        <v>200</v>
      </c>
      <c r="I373" s="11">
        <v>43.73</v>
      </c>
      <c r="J373" s="11"/>
      <c r="K373" s="11"/>
      <c r="L373" s="11">
        <v>200</v>
      </c>
      <c r="M373" s="11" t="s">
        <v>585</v>
      </c>
      <c r="N373" s="11">
        <v>43.7</v>
      </c>
      <c r="O373" s="11">
        <v>43.7</v>
      </c>
      <c r="P373" s="11">
        <v>43.73</v>
      </c>
      <c r="Q373" s="11"/>
      <c r="R373" s="11" t="s">
        <v>1167</v>
      </c>
    </row>
    <row r="374" spans="2:18" x14ac:dyDescent="0.3">
      <c r="B374" s="11" t="s">
        <v>586</v>
      </c>
      <c r="C374" s="11">
        <v>47.5</v>
      </c>
      <c r="D374" s="11">
        <v>47.5</v>
      </c>
      <c r="E374" s="11">
        <v>45.3</v>
      </c>
      <c r="F374" s="11">
        <v>2.2000000000000002</v>
      </c>
      <c r="G374" s="10">
        <v>3.51</v>
      </c>
      <c r="H374" s="11">
        <v>200</v>
      </c>
      <c r="I374" s="11">
        <v>46.3</v>
      </c>
      <c r="J374" s="11"/>
      <c r="K374" s="11"/>
      <c r="L374" s="11">
        <v>200</v>
      </c>
      <c r="M374" s="11" t="s">
        <v>587</v>
      </c>
      <c r="N374" s="11">
        <v>45.94</v>
      </c>
      <c r="O374" s="11">
        <v>45.94</v>
      </c>
      <c r="P374" s="11">
        <v>46.3</v>
      </c>
      <c r="Q374" s="11"/>
      <c r="R374" s="11" t="s">
        <v>1221</v>
      </c>
    </row>
    <row r="375" spans="2:18" x14ac:dyDescent="0.3">
      <c r="B375" s="11" t="s">
        <v>588</v>
      </c>
      <c r="C375" s="11">
        <v>47.91</v>
      </c>
      <c r="D375" s="11">
        <v>47.91</v>
      </c>
      <c r="E375" s="11">
        <v>45.69</v>
      </c>
      <c r="F375" s="11">
        <v>2.2200000000000002</v>
      </c>
      <c r="G375" s="10">
        <v>5</v>
      </c>
      <c r="H375" s="11">
        <v>200</v>
      </c>
      <c r="I375" s="11">
        <v>46.69</v>
      </c>
      <c r="J375" s="11"/>
      <c r="K375" s="11"/>
      <c r="L375" s="11">
        <v>200</v>
      </c>
      <c r="M375" s="11" t="s">
        <v>589</v>
      </c>
      <c r="N375" s="11">
        <v>46.19</v>
      </c>
      <c r="O375" s="11">
        <v>46.19</v>
      </c>
      <c r="P375" s="11">
        <v>46.69</v>
      </c>
      <c r="Q375" s="11"/>
      <c r="R375" s="11" t="s">
        <v>1221</v>
      </c>
    </row>
    <row r="376" spans="2:18" x14ac:dyDescent="0.3">
      <c r="B376" s="11" t="s">
        <v>590</v>
      </c>
      <c r="C376" s="11">
        <v>48.17</v>
      </c>
      <c r="D376" s="11">
        <v>48.17</v>
      </c>
      <c r="E376" s="11">
        <v>45.89</v>
      </c>
      <c r="F376" s="11">
        <v>2.2799999999999998</v>
      </c>
      <c r="G376" s="10">
        <v>5</v>
      </c>
      <c r="H376" s="11">
        <v>200</v>
      </c>
      <c r="I376" s="11">
        <v>46.89</v>
      </c>
      <c r="J376" s="11"/>
      <c r="K376" s="11"/>
      <c r="L376" s="11">
        <v>200</v>
      </c>
      <c r="M376" s="11" t="s">
        <v>591</v>
      </c>
      <c r="N376" s="11">
        <v>46.38</v>
      </c>
      <c r="O376" s="11">
        <v>46.38</v>
      </c>
      <c r="P376" s="11">
        <v>46.89</v>
      </c>
      <c r="Q376" s="11"/>
      <c r="R376" s="11" t="s">
        <v>1221</v>
      </c>
    </row>
    <row r="377" spans="2:18" x14ac:dyDescent="0.3">
      <c r="B377" s="11" t="s">
        <v>592</v>
      </c>
      <c r="C377" s="11">
        <v>48.9</v>
      </c>
      <c r="D377" s="11">
        <v>48.9</v>
      </c>
      <c r="E377" s="11">
        <v>47.07</v>
      </c>
      <c r="F377" s="11">
        <v>1.83</v>
      </c>
      <c r="G377" s="10">
        <v>0.5</v>
      </c>
      <c r="H377" s="11">
        <v>200</v>
      </c>
      <c r="I377" s="11">
        <v>48.07</v>
      </c>
      <c r="J377" s="11"/>
      <c r="K377" s="11"/>
      <c r="L377" s="11">
        <v>200</v>
      </c>
      <c r="M377" s="11" t="s">
        <v>593</v>
      </c>
      <c r="N377" s="11">
        <v>48.01</v>
      </c>
      <c r="O377" s="11">
        <v>48.01</v>
      </c>
      <c r="P377" s="11">
        <v>48.07</v>
      </c>
      <c r="Q377" s="11"/>
      <c r="R377" s="11" t="s">
        <v>1167</v>
      </c>
    </row>
    <row r="378" spans="2:18" ht="15" customHeight="1" x14ac:dyDescent="0.3">
      <c r="B378" s="11" t="s">
        <v>594</v>
      </c>
      <c r="C378" s="11">
        <v>48.97</v>
      </c>
      <c r="D378" s="11">
        <v>48.97</v>
      </c>
      <c r="E378" s="11">
        <v>46.81</v>
      </c>
      <c r="F378" s="11">
        <v>2.16</v>
      </c>
      <c r="G378" s="10">
        <v>2</v>
      </c>
      <c r="H378" s="11">
        <v>200</v>
      </c>
      <c r="I378" s="11">
        <v>47.81</v>
      </c>
      <c r="J378" s="11"/>
      <c r="K378" s="11"/>
      <c r="L378" s="11">
        <v>200</v>
      </c>
      <c r="M378" s="11" t="s">
        <v>595</v>
      </c>
      <c r="N378" s="11">
        <v>47.63</v>
      </c>
      <c r="O378" s="11">
        <v>47.63</v>
      </c>
      <c r="P378" s="11">
        <v>47.81</v>
      </c>
      <c r="Q378" s="11"/>
      <c r="R378" s="11" t="s">
        <v>1221</v>
      </c>
    </row>
    <row r="379" spans="2:18" x14ac:dyDescent="0.3">
      <c r="B379" s="11" t="s">
        <v>596</v>
      </c>
      <c r="C379" s="11">
        <v>48.85</v>
      </c>
      <c r="D379" s="11">
        <v>48.85</v>
      </c>
      <c r="E379" s="11">
        <v>46.99</v>
      </c>
      <c r="F379" s="11">
        <v>1.86</v>
      </c>
      <c r="G379" s="10">
        <v>2</v>
      </c>
      <c r="H379" s="11">
        <v>200</v>
      </c>
      <c r="I379" s="11">
        <v>47.99</v>
      </c>
      <c r="J379" s="11"/>
      <c r="K379" s="11"/>
      <c r="L379" s="11">
        <v>200</v>
      </c>
      <c r="M379" s="11" t="s">
        <v>597</v>
      </c>
      <c r="N379" s="11">
        <v>47.84</v>
      </c>
      <c r="O379" s="11">
        <v>47.84</v>
      </c>
      <c r="P379" s="11">
        <v>47.99</v>
      </c>
      <c r="Q379" s="11"/>
      <c r="R379" s="11" t="s">
        <v>1167</v>
      </c>
    </row>
    <row r="380" spans="2:18" x14ac:dyDescent="0.3">
      <c r="B380" s="11" t="s">
        <v>598</v>
      </c>
      <c r="C380" s="11">
        <v>63.77</v>
      </c>
      <c r="D380" s="11">
        <v>63.77</v>
      </c>
      <c r="E380" s="11">
        <v>61.57</v>
      </c>
      <c r="F380" s="11">
        <v>2.2000000000000002</v>
      </c>
      <c r="G380" s="10">
        <v>9</v>
      </c>
      <c r="H380" s="11">
        <v>200</v>
      </c>
      <c r="I380" s="11">
        <v>62.57</v>
      </c>
      <c r="J380" s="11"/>
      <c r="K380" s="11"/>
      <c r="L380" s="11">
        <v>200</v>
      </c>
      <c r="M380" s="11" t="s">
        <v>599</v>
      </c>
      <c r="N380" s="11">
        <v>62.22</v>
      </c>
      <c r="O380" s="11">
        <v>62.22</v>
      </c>
      <c r="P380" s="11">
        <v>62.57</v>
      </c>
      <c r="Q380" s="11"/>
      <c r="R380" s="11" t="s">
        <v>1221</v>
      </c>
    </row>
    <row r="381" spans="2:18" x14ac:dyDescent="0.3">
      <c r="B381" s="11" t="s">
        <v>600</v>
      </c>
      <c r="C381" s="11">
        <v>66.23</v>
      </c>
      <c r="D381" s="11">
        <v>66.23</v>
      </c>
      <c r="E381" s="11">
        <v>64.03</v>
      </c>
      <c r="F381" s="11">
        <v>2.2000000000000002</v>
      </c>
      <c r="G381" s="10">
        <v>9</v>
      </c>
      <c r="H381" s="11">
        <v>200</v>
      </c>
      <c r="I381" s="11">
        <v>65.03</v>
      </c>
      <c r="J381" s="11"/>
      <c r="K381" s="11"/>
      <c r="L381" s="11">
        <v>200</v>
      </c>
      <c r="M381" s="11" t="s">
        <v>601</v>
      </c>
      <c r="N381" s="11">
        <v>64.69</v>
      </c>
      <c r="O381" s="11">
        <v>64.69</v>
      </c>
      <c r="P381" s="11">
        <v>65.03</v>
      </c>
      <c r="Q381" s="11"/>
      <c r="R381" s="11" t="s">
        <v>1221</v>
      </c>
    </row>
    <row r="382" spans="2:18" x14ac:dyDescent="0.3">
      <c r="B382" s="11" t="s">
        <v>602</v>
      </c>
      <c r="C382" s="11">
        <v>75.91</v>
      </c>
      <c r="D382" s="11">
        <v>75.91</v>
      </c>
      <c r="E382" s="11">
        <v>73.709999999999994</v>
      </c>
      <c r="F382" s="11">
        <v>2.2000000000000002</v>
      </c>
      <c r="G382" s="10">
        <v>8.91</v>
      </c>
      <c r="H382" s="11">
        <v>200</v>
      </c>
      <c r="I382" s="11">
        <v>74.709999999999994</v>
      </c>
      <c r="J382" s="11"/>
      <c r="K382" s="11"/>
      <c r="L382" s="11">
        <v>200</v>
      </c>
      <c r="M382" s="11" t="s">
        <v>603</v>
      </c>
      <c r="N382" s="11">
        <v>74.23</v>
      </c>
      <c r="O382" s="11">
        <v>74.23</v>
      </c>
      <c r="P382" s="11">
        <v>74.709999999999994</v>
      </c>
      <c r="Q382" s="11"/>
      <c r="R382" s="11" t="s">
        <v>1221</v>
      </c>
    </row>
    <row r="383" spans="2:18" x14ac:dyDescent="0.3">
      <c r="B383" s="15" t="s">
        <v>604</v>
      </c>
      <c r="C383" s="15">
        <v>61.2</v>
      </c>
      <c r="D383" s="15">
        <v>61.2</v>
      </c>
      <c r="E383" s="15">
        <v>58.82</v>
      </c>
      <c r="F383" s="15">
        <v>2.38</v>
      </c>
      <c r="G383" s="15">
        <v>2</v>
      </c>
      <c r="H383" s="15">
        <v>200</v>
      </c>
      <c r="I383" s="15">
        <v>59.82</v>
      </c>
      <c r="J383" s="15"/>
      <c r="K383" s="15"/>
      <c r="L383" s="15">
        <v>200</v>
      </c>
      <c r="M383" s="15" t="s">
        <v>605</v>
      </c>
      <c r="N383" s="15">
        <v>59.66</v>
      </c>
      <c r="O383" s="15">
        <v>59.66</v>
      </c>
      <c r="P383" s="15">
        <v>59.82</v>
      </c>
      <c r="Q383" s="15"/>
      <c r="R383" s="11" t="s">
        <v>1221</v>
      </c>
    </row>
    <row r="384" spans="2:18" x14ac:dyDescent="0.3">
      <c r="B384" s="15" t="s">
        <v>606</v>
      </c>
      <c r="C384" s="15">
        <v>61.64</v>
      </c>
      <c r="D384" s="15">
        <v>61.64</v>
      </c>
      <c r="E384" s="15">
        <v>59.44</v>
      </c>
      <c r="F384" s="15">
        <v>2.2000000000000002</v>
      </c>
      <c r="G384" s="15">
        <v>8.9600000000000009</v>
      </c>
      <c r="H384" s="15">
        <v>200</v>
      </c>
      <c r="I384" s="15">
        <v>60.44</v>
      </c>
      <c r="J384" s="15"/>
      <c r="K384" s="15"/>
      <c r="L384" s="15">
        <v>200</v>
      </c>
      <c r="M384" s="15" t="s">
        <v>607</v>
      </c>
      <c r="N384" s="15">
        <v>59.24</v>
      </c>
      <c r="O384" s="15">
        <v>59.24</v>
      </c>
      <c r="P384" s="15">
        <v>60.44</v>
      </c>
      <c r="Q384" s="15"/>
      <c r="R384" s="11" t="s">
        <v>1221</v>
      </c>
    </row>
    <row r="385" spans="2:18" x14ac:dyDescent="0.3">
      <c r="B385" s="15" t="s">
        <v>608</v>
      </c>
      <c r="C385" s="15">
        <v>85.56</v>
      </c>
      <c r="D385" s="15">
        <v>85.56</v>
      </c>
      <c r="E385" s="15">
        <v>83.36</v>
      </c>
      <c r="F385" s="15">
        <v>2.2000000000000002</v>
      </c>
      <c r="G385" s="15">
        <v>9</v>
      </c>
      <c r="H385" s="15">
        <v>200</v>
      </c>
      <c r="I385" s="15">
        <v>84.36</v>
      </c>
      <c r="J385" s="15"/>
      <c r="K385" s="15"/>
      <c r="L385" s="15">
        <v>200</v>
      </c>
      <c r="M385" s="15" t="s">
        <v>609</v>
      </c>
      <c r="N385" s="15">
        <v>84.1</v>
      </c>
      <c r="O385" s="15">
        <v>84.1</v>
      </c>
      <c r="P385" s="15">
        <v>84.36</v>
      </c>
      <c r="Q385" s="15"/>
      <c r="R385" s="11" t="s">
        <v>1221</v>
      </c>
    </row>
    <row r="386" spans="2:18" x14ac:dyDescent="0.3">
      <c r="B386" s="15" t="s">
        <v>610</v>
      </c>
      <c r="C386" s="15">
        <v>85.57</v>
      </c>
      <c r="D386" s="15">
        <v>85.57</v>
      </c>
      <c r="E386" s="15">
        <v>83.37</v>
      </c>
      <c r="F386" s="15">
        <v>2.2000000000000002</v>
      </c>
      <c r="G386" s="15">
        <v>8.85</v>
      </c>
      <c r="H386" s="15">
        <v>200</v>
      </c>
      <c r="I386" s="15">
        <v>84.37</v>
      </c>
      <c r="J386" s="15"/>
      <c r="K386" s="15"/>
      <c r="L386" s="15">
        <v>200</v>
      </c>
      <c r="M386" s="15" t="s">
        <v>611</v>
      </c>
      <c r="N386" s="15">
        <v>84.11</v>
      </c>
      <c r="O386" s="15">
        <v>84.11</v>
      </c>
      <c r="P386" s="15">
        <v>84.37</v>
      </c>
      <c r="Q386" s="15"/>
      <c r="R386" s="11" t="s">
        <v>1221</v>
      </c>
    </row>
    <row r="387" spans="2:18" x14ac:dyDescent="0.3">
      <c r="B387" s="15" t="s">
        <v>612</v>
      </c>
      <c r="C387" s="15">
        <v>86.02</v>
      </c>
      <c r="D387" s="15">
        <v>86.02</v>
      </c>
      <c r="E387" s="15">
        <v>83.82</v>
      </c>
      <c r="F387" s="15">
        <v>2.2000000000000002</v>
      </c>
      <c r="G387" s="15">
        <v>8.98</v>
      </c>
      <c r="H387" s="15">
        <v>200</v>
      </c>
      <c r="I387" s="15">
        <v>84.82</v>
      </c>
      <c r="J387" s="15"/>
      <c r="K387" s="15"/>
      <c r="L387" s="15">
        <v>200</v>
      </c>
      <c r="M387" s="15" t="s">
        <v>613</v>
      </c>
      <c r="N387" s="15">
        <v>84.51</v>
      </c>
      <c r="O387" s="15">
        <v>84.51</v>
      </c>
      <c r="P387" s="15">
        <v>84.82</v>
      </c>
      <c r="Q387" s="15"/>
      <c r="R387" s="11" t="s">
        <v>1221</v>
      </c>
    </row>
    <row r="388" spans="2:18" x14ac:dyDescent="0.3">
      <c r="B388" s="15" t="s">
        <v>614</v>
      </c>
      <c r="C388" s="15">
        <v>86.02</v>
      </c>
      <c r="D388" s="15">
        <v>86.02</v>
      </c>
      <c r="E388" s="15">
        <v>83.82</v>
      </c>
      <c r="F388" s="15">
        <v>2.2000000000000002</v>
      </c>
      <c r="G388" s="15">
        <v>9</v>
      </c>
      <c r="H388" s="15">
        <v>200</v>
      </c>
      <c r="I388" s="15">
        <v>84.82</v>
      </c>
      <c r="J388" s="15"/>
      <c r="K388" s="15"/>
      <c r="L388" s="15">
        <v>200</v>
      </c>
      <c r="M388" s="15" t="s">
        <v>615</v>
      </c>
      <c r="N388" s="15">
        <v>84.51</v>
      </c>
      <c r="O388" s="15">
        <v>84.51</v>
      </c>
      <c r="P388" s="15">
        <v>84.82</v>
      </c>
      <c r="Q388" s="15"/>
      <c r="R388" s="11" t="s">
        <v>1221</v>
      </c>
    </row>
    <row r="389" spans="2:18" x14ac:dyDescent="0.3">
      <c r="B389" s="15" t="s">
        <v>616</v>
      </c>
      <c r="C389" s="15">
        <v>86.45</v>
      </c>
      <c r="D389" s="15">
        <v>86.45</v>
      </c>
      <c r="E389" s="15">
        <v>84.25</v>
      </c>
      <c r="F389" s="15">
        <v>2.2000000000000002</v>
      </c>
      <c r="G389" s="15">
        <v>9</v>
      </c>
      <c r="H389" s="15">
        <v>200</v>
      </c>
      <c r="I389" s="15">
        <v>85.25</v>
      </c>
      <c r="J389" s="15"/>
      <c r="K389" s="15"/>
      <c r="L389" s="15">
        <v>200</v>
      </c>
      <c r="M389" s="15" t="s">
        <v>617</v>
      </c>
      <c r="N389" s="15">
        <v>84.9</v>
      </c>
      <c r="O389" s="15">
        <v>84.9</v>
      </c>
      <c r="P389" s="15">
        <v>85.25</v>
      </c>
      <c r="Q389" s="15"/>
      <c r="R389" s="11" t="s">
        <v>1221</v>
      </c>
    </row>
    <row r="390" spans="2:18" x14ac:dyDescent="0.3">
      <c r="B390" s="15" t="s">
        <v>618</v>
      </c>
      <c r="C390" s="15">
        <v>86.45</v>
      </c>
      <c r="D390" s="15">
        <v>86.45</v>
      </c>
      <c r="E390" s="15">
        <v>84.25</v>
      </c>
      <c r="F390" s="15">
        <v>2.2000000000000002</v>
      </c>
      <c r="G390" s="15">
        <v>9</v>
      </c>
      <c r="H390" s="15">
        <v>200</v>
      </c>
      <c r="I390" s="15">
        <v>85.25</v>
      </c>
      <c r="J390" s="15"/>
      <c r="K390" s="15"/>
      <c r="L390" s="15">
        <v>200</v>
      </c>
      <c r="M390" s="15" t="s">
        <v>619</v>
      </c>
      <c r="N390" s="15">
        <v>84.9</v>
      </c>
      <c r="O390" s="15">
        <v>84.9</v>
      </c>
      <c r="P390" s="15">
        <v>85.25</v>
      </c>
      <c r="Q390" s="15"/>
      <c r="R390" s="11" t="s">
        <v>1221</v>
      </c>
    </row>
    <row r="391" spans="2:18" x14ac:dyDescent="0.3">
      <c r="B391" s="15" t="s">
        <v>620</v>
      </c>
      <c r="C391" s="15">
        <v>86.94</v>
      </c>
      <c r="D391" s="15">
        <v>86.94</v>
      </c>
      <c r="E391" s="15">
        <v>84.74</v>
      </c>
      <c r="F391" s="15">
        <v>2.2000000000000002</v>
      </c>
      <c r="G391" s="15">
        <v>8.89</v>
      </c>
      <c r="H391" s="15">
        <v>200</v>
      </c>
      <c r="I391" s="15">
        <v>85.74</v>
      </c>
      <c r="J391" s="15"/>
      <c r="K391" s="15"/>
      <c r="L391" s="15">
        <v>200</v>
      </c>
      <c r="M391" s="15" t="s">
        <v>621</v>
      </c>
      <c r="N391" s="15">
        <v>85.4</v>
      </c>
      <c r="O391" s="15">
        <v>85.4</v>
      </c>
      <c r="P391" s="15">
        <v>85.74</v>
      </c>
      <c r="Q391" s="15"/>
      <c r="R391" s="11" t="s">
        <v>1221</v>
      </c>
    </row>
    <row r="392" spans="2:18" x14ac:dyDescent="0.3">
      <c r="B392" s="15" t="s">
        <v>622</v>
      </c>
      <c r="C392" s="15">
        <v>86.94</v>
      </c>
      <c r="D392" s="15">
        <v>86.94</v>
      </c>
      <c r="E392" s="15">
        <v>84.74</v>
      </c>
      <c r="F392" s="15">
        <v>2.2000000000000002</v>
      </c>
      <c r="G392" s="15">
        <v>9</v>
      </c>
      <c r="H392" s="15">
        <v>200</v>
      </c>
      <c r="I392" s="15">
        <v>85.74</v>
      </c>
      <c r="J392" s="15"/>
      <c r="K392" s="15"/>
      <c r="L392" s="15">
        <v>200</v>
      </c>
      <c r="M392" s="15" t="s">
        <v>623</v>
      </c>
      <c r="N392" s="15">
        <v>85.39</v>
      </c>
      <c r="O392" s="15">
        <v>85.39</v>
      </c>
      <c r="P392" s="15">
        <v>85.74</v>
      </c>
      <c r="Q392" s="15"/>
      <c r="R392" s="11" t="s">
        <v>1221</v>
      </c>
    </row>
    <row r="393" spans="2:18" x14ac:dyDescent="0.3">
      <c r="B393" s="15" t="s">
        <v>624</v>
      </c>
      <c r="C393" s="15">
        <v>87.34</v>
      </c>
      <c r="D393" s="15">
        <v>87.34</v>
      </c>
      <c r="E393" s="15">
        <v>85.14</v>
      </c>
      <c r="F393" s="15">
        <v>2.2000000000000002</v>
      </c>
      <c r="G393" s="15">
        <v>9</v>
      </c>
      <c r="H393" s="15">
        <v>200</v>
      </c>
      <c r="I393" s="15">
        <v>86.14</v>
      </c>
      <c r="J393" s="15"/>
      <c r="K393" s="15"/>
      <c r="L393" s="15">
        <v>200</v>
      </c>
      <c r="M393" s="15" t="s">
        <v>625</v>
      </c>
      <c r="N393" s="15">
        <v>85.82</v>
      </c>
      <c r="O393" s="15">
        <v>85.82</v>
      </c>
      <c r="P393" s="15">
        <v>86.14</v>
      </c>
      <c r="Q393" s="15"/>
      <c r="R393" s="11" t="s">
        <v>1221</v>
      </c>
    </row>
    <row r="394" spans="2:18" x14ac:dyDescent="0.3">
      <c r="B394" s="15" t="s">
        <v>626</v>
      </c>
      <c r="C394" s="15">
        <v>87.4</v>
      </c>
      <c r="D394" s="15">
        <v>87.4</v>
      </c>
      <c r="E394" s="15">
        <v>85.2</v>
      </c>
      <c r="F394" s="15">
        <v>2.2000000000000002</v>
      </c>
      <c r="G394" s="15">
        <v>9</v>
      </c>
      <c r="H394" s="15">
        <v>200</v>
      </c>
      <c r="I394" s="15">
        <v>86.2</v>
      </c>
      <c r="J394" s="15"/>
      <c r="K394" s="15"/>
      <c r="L394" s="15">
        <v>200</v>
      </c>
      <c r="M394" s="15" t="s">
        <v>627</v>
      </c>
      <c r="N394" s="15">
        <v>85.88</v>
      </c>
      <c r="O394" s="15">
        <v>85.88</v>
      </c>
      <c r="P394" s="15">
        <v>86.2</v>
      </c>
      <c r="Q394" s="15"/>
      <c r="R394" s="11" t="s">
        <v>1221</v>
      </c>
    </row>
    <row r="395" spans="2:18" x14ac:dyDescent="0.3">
      <c r="B395" s="15" t="s">
        <v>628</v>
      </c>
      <c r="C395" s="15">
        <v>87.66</v>
      </c>
      <c r="D395" s="15">
        <v>87.66</v>
      </c>
      <c r="E395" s="15">
        <v>85.46</v>
      </c>
      <c r="F395" s="15">
        <v>2.2000000000000002</v>
      </c>
      <c r="G395" s="15">
        <v>9</v>
      </c>
      <c r="H395" s="15">
        <v>200</v>
      </c>
      <c r="I395" s="15">
        <v>86.46</v>
      </c>
      <c r="J395" s="15"/>
      <c r="K395" s="15"/>
      <c r="L395" s="15">
        <v>200</v>
      </c>
      <c r="M395" s="15" t="s">
        <v>629</v>
      </c>
      <c r="N395" s="15">
        <v>86.11</v>
      </c>
      <c r="O395" s="15">
        <v>86.11</v>
      </c>
      <c r="P395" s="15">
        <v>86.46</v>
      </c>
      <c r="Q395" s="15"/>
      <c r="R395" s="11" t="s">
        <v>1221</v>
      </c>
    </row>
    <row r="396" spans="2:18" x14ac:dyDescent="0.3">
      <c r="B396" s="15" t="s">
        <v>630</v>
      </c>
      <c r="C396" s="15">
        <v>87.86</v>
      </c>
      <c r="D396" s="15">
        <v>87.86</v>
      </c>
      <c r="E396" s="15">
        <v>85.66</v>
      </c>
      <c r="F396" s="15">
        <v>2.2000000000000002</v>
      </c>
      <c r="G396" s="15">
        <v>9</v>
      </c>
      <c r="H396" s="15">
        <v>200</v>
      </c>
      <c r="I396" s="15">
        <v>86.66</v>
      </c>
      <c r="J396" s="15"/>
      <c r="K396" s="15"/>
      <c r="L396" s="15">
        <v>200</v>
      </c>
      <c r="M396" s="15" t="s">
        <v>631</v>
      </c>
      <c r="N396" s="15">
        <v>86.29</v>
      </c>
      <c r="O396" s="15">
        <v>86.29</v>
      </c>
      <c r="P396" s="15">
        <v>86.66</v>
      </c>
      <c r="Q396" s="15"/>
      <c r="R396" s="11" t="s">
        <v>1221</v>
      </c>
    </row>
    <row r="397" spans="2:18" x14ac:dyDescent="0.3">
      <c r="B397" s="15" t="s">
        <v>633</v>
      </c>
      <c r="C397" s="15">
        <v>87.04</v>
      </c>
      <c r="D397" s="15">
        <v>87.04</v>
      </c>
      <c r="E397" s="15">
        <v>84.84</v>
      </c>
      <c r="F397" s="15">
        <v>2.2000000000000002</v>
      </c>
      <c r="G397" s="15">
        <v>31.38</v>
      </c>
      <c r="H397" s="15">
        <v>200</v>
      </c>
      <c r="I397" s="15">
        <v>85.84</v>
      </c>
      <c r="J397" s="15"/>
      <c r="K397" s="15"/>
      <c r="L397" s="15">
        <v>200</v>
      </c>
      <c r="M397" s="15" t="s">
        <v>634</v>
      </c>
      <c r="N397" s="15">
        <v>84.75</v>
      </c>
      <c r="O397" s="15">
        <v>84.75</v>
      </c>
      <c r="P397" s="15">
        <v>85.84</v>
      </c>
      <c r="Q397" s="15"/>
      <c r="R397" s="11" t="s">
        <v>1221</v>
      </c>
    </row>
    <row r="398" spans="2:18" x14ac:dyDescent="0.3">
      <c r="B398" s="15" t="s">
        <v>635</v>
      </c>
      <c r="C398" s="15">
        <v>86.99</v>
      </c>
      <c r="D398" s="15">
        <v>86.99</v>
      </c>
      <c r="E398" s="15">
        <v>84.17</v>
      </c>
      <c r="F398" s="15">
        <v>2.82</v>
      </c>
      <c r="G398" s="15">
        <v>9</v>
      </c>
      <c r="H398" s="15">
        <v>200</v>
      </c>
      <c r="I398" s="15">
        <v>85.17</v>
      </c>
      <c r="J398" s="15"/>
      <c r="K398" s="15"/>
      <c r="L398" s="15">
        <v>200</v>
      </c>
      <c r="M398" s="15" t="s">
        <v>636</v>
      </c>
      <c r="N398" s="15">
        <v>84.85</v>
      </c>
      <c r="O398" s="15">
        <v>84.85</v>
      </c>
      <c r="P398" s="15">
        <v>85.17</v>
      </c>
      <c r="Q398" s="15"/>
      <c r="R398" s="11" t="s">
        <v>1221</v>
      </c>
    </row>
    <row r="399" spans="2:18" x14ac:dyDescent="0.3">
      <c r="B399" s="15" t="s">
        <v>637</v>
      </c>
      <c r="C399" s="15">
        <v>86.81</v>
      </c>
      <c r="D399" s="15">
        <v>86.81</v>
      </c>
      <c r="E399" s="15">
        <v>84.1</v>
      </c>
      <c r="F399" s="15">
        <v>2.71</v>
      </c>
      <c r="G399" s="15">
        <v>9</v>
      </c>
      <c r="H399" s="15">
        <v>200</v>
      </c>
      <c r="I399" s="15">
        <v>85.1</v>
      </c>
      <c r="J399" s="15"/>
      <c r="K399" s="15"/>
      <c r="L399" s="15">
        <v>200</v>
      </c>
      <c r="M399" s="15" t="s">
        <v>638</v>
      </c>
      <c r="N399" s="15">
        <v>84.81</v>
      </c>
      <c r="O399" s="15">
        <v>84.81</v>
      </c>
      <c r="P399" s="15">
        <v>85.1</v>
      </c>
      <c r="Q399" s="15"/>
      <c r="R399" s="11" t="s">
        <v>1221</v>
      </c>
    </row>
    <row r="400" spans="2:18" x14ac:dyDescent="0.3">
      <c r="B400" s="15" t="s">
        <v>639</v>
      </c>
      <c r="C400" s="15">
        <v>86.65</v>
      </c>
      <c r="D400" s="15">
        <v>86.65</v>
      </c>
      <c r="E400" s="15">
        <v>83.96</v>
      </c>
      <c r="F400" s="15">
        <v>2.69</v>
      </c>
      <c r="G400" s="15">
        <v>9</v>
      </c>
      <c r="H400" s="15">
        <v>200</v>
      </c>
      <c r="I400" s="15">
        <v>84.96</v>
      </c>
      <c r="J400" s="15"/>
      <c r="K400" s="15"/>
      <c r="L400" s="15">
        <v>200</v>
      </c>
      <c r="M400" s="15" t="s">
        <v>640</v>
      </c>
      <c r="N400" s="15">
        <v>84.69</v>
      </c>
      <c r="O400" s="15">
        <v>84.69</v>
      </c>
      <c r="P400" s="15">
        <v>84.96</v>
      </c>
      <c r="Q400" s="15"/>
      <c r="R400" s="11" t="s">
        <v>1221</v>
      </c>
    </row>
    <row r="401" spans="2:18" x14ac:dyDescent="0.3">
      <c r="B401" s="15" t="s">
        <v>641</v>
      </c>
      <c r="C401" s="15">
        <v>76</v>
      </c>
      <c r="D401" s="15">
        <v>76</v>
      </c>
      <c r="E401" s="15">
        <v>73.8</v>
      </c>
      <c r="F401" s="15">
        <v>2.2000000000000002</v>
      </c>
      <c r="G401" s="15">
        <v>8.81</v>
      </c>
      <c r="H401" s="15">
        <v>200</v>
      </c>
      <c r="I401" s="15">
        <v>74.8</v>
      </c>
      <c r="J401" s="15"/>
      <c r="K401" s="15"/>
      <c r="L401" s="15">
        <v>200</v>
      </c>
      <c r="M401" s="15" t="s">
        <v>642</v>
      </c>
      <c r="N401" s="15">
        <v>74.14</v>
      </c>
      <c r="O401" s="15">
        <v>74.14</v>
      </c>
      <c r="P401" s="15">
        <v>74.8</v>
      </c>
      <c r="Q401" s="15"/>
      <c r="R401" s="11" t="s">
        <v>1221</v>
      </c>
    </row>
    <row r="402" spans="2:18" x14ac:dyDescent="0.3">
      <c r="B402" s="15" t="s">
        <v>643</v>
      </c>
      <c r="C402" s="15">
        <v>87.34</v>
      </c>
      <c r="D402" s="15">
        <v>87.34</v>
      </c>
      <c r="E402" s="15">
        <v>85.76</v>
      </c>
      <c r="F402" s="15">
        <v>1.58</v>
      </c>
      <c r="G402" s="15">
        <v>0.5</v>
      </c>
      <c r="H402" s="15">
        <v>200</v>
      </c>
      <c r="I402" s="15">
        <v>86.76</v>
      </c>
      <c r="J402" s="15"/>
      <c r="K402" s="15"/>
      <c r="L402" s="15">
        <v>200</v>
      </c>
      <c r="M402" s="15" t="s">
        <v>644</v>
      </c>
      <c r="N402" s="15">
        <v>86.75</v>
      </c>
      <c r="O402" s="15">
        <v>86.75</v>
      </c>
      <c r="P402" s="15">
        <v>86.76</v>
      </c>
      <c r="Q402" s="15"/>
      <c r="R402" s="11" t="s">
        <v>1167</v>
      </c>
    </row>
    <row r="403" spans="2:18" x14ac:dyDescent="0.3">
      <c r="B403" s="15" t="s">
        <v>645</v>
      </c>
      <c r="C403" s="15">
        <v>87.35</v>
      </c>
      <c r="D403" s="15">
        <v>87.35</v>
      </c>
      <c r="E403" s="15">
        <v>85.77</v>
      </c>
      <c r="F403" s="15">
        <v>1.58</v>
      </c>
      <c r="G403" s="15">
        <v>0.5</v>
      </c>
      <c r="H403" s="15">
        <v>200</v>
      </c>
      <c r="I403" s="15">
        <v>86.77</v>
      </c>
      <c r="J403" s="15"/>
      <c r="K403" s="15"/>
      <c r="L403" s="15">
        <v>200</v>
      </c>
      <c r="M403" s="15" t="s">
        <v>646</v>
      </c>
      <c r="N403" s="15">
        <v>86.75</v>
      </c>
      <c r="O403" s="15">
        <v>86.75</v>
      </c>
      <c r="P403" s="15">
        <v>86.77</v>
      </c>
      <c r="Q403" s="15"/>
      <c r="R403" s="11" t="s">
        <v>1167</v>
      </c>
    </row>
    <row r="404" spans="2:18" x14ac:dyDescent="0.3">
      <c r="B404" s="15" t="s">
        <v>647</v>
      </c>
      <c r="C404" s="15">
        <v>87.76</v>
      </c>
      <c r="D404" s="15">
        <v>87.76</v>
      </c>
      <c r="E404" s="15">
        <v>86.07</v>
      </c>
      <c r="F404" s="15">
        <v>1.69</v>
      </c>
      <c r="G404" s="15">
        <v>0.5</v>
      </c>
      <c r="H404" s="15">
        <v>200</v>
      </c>
      <c r="I404" s="15">
        <v>87.07</v>
      </c>
      <c r="J404" s="15"/>
      <c r="K404" s="15"/>
      <c r="L404" s="15">
        <v>200</v>
      </c>
      <c r="M404" s="15" t="s">
        <v>648</v>
      </c>
      <c r="N404" s="15">
        <v>87.05</v>
      </c>
      <c r="O404" s="15">
        <v>87.05</v>
      </c>
      <c r="P404" s="15">
        <v>87.07</v>
      </c>
      <c r="Q404" s="15"/>
      <c r="R404" s="11" t="s">
        <v>1167</v>
      </c>
    </row>
    <row r="405" spans="2:18" x14ac:dyDescent="0.3">
      <c r="B405" s="15" t="s">
        <v>649</v>
      </c>
      <c r="C405" s="15">
        <v>87.76</v>
      </c>
      <c r="D405" s="15">
        <v>87.76</v>
      </c>
      <c r="E405" s="15">
        <v>86.06</v>
      </c>
      <c r="F405" s="15">
        <v>1.7</v>
      </c>
      <c r="G405" s="15">
        <v>0.5</v>
      </c>
      <c r="H405" s="15">
        <v>200</v>
      </c>
      <c r="I405" s="15">
        <v>87.06</v>
      </c>
      <c r="J405" s="15"/>
      <c r="K405" s="15"/>
      <c r="L405" s="15">
        <v>200</v>
      </c>
      <c r="M405" s="15" t="s">
        <v>650</v>
      </c>
      <c r="N405" s="15">
        <v>87.04</v>
      </c>
      <c r="O405" s="15">
        <v>87.04</v>
      </c>
      <c r="P405" s="15">
        <v>87.06</v>
      </c>
      <c r="Q405" s="15"/>
      <c r="R405" s="11" t="s">
        <v>1167</v>
      </c>
    </row>
    <row r="406" spans="2:18" x14ac:dyDescent="0.3">
      <c r="B406" s="15" t="s">
        <v>651</v>
      </c>
      <c r="C406" s="15">
        <v>88.03</v>
      </c>
      <c r="D406" s="15">
        <v>88.03</v>
      </c>
      <c r="E406" s="15">
        <v>86.09</v>
      </c>
      <c r="F406" s="15">
        <v>1.94</v>
      </c>
      <c r="G406" s="15">
        <v>2</v>
      </c>
      <c r="H406" s="15">
        <v>200</v>
      </c>
      <c r="I406" s="15">
        <v>87.09</v>
      </c>
      <c r="J406" s="15"/>
      <c r="K406" s="15"/>
      <c r="L406" s="15">
        <v>200</v>
      </c>
      <c r="M406" s="15" t="s">
        <v>652</v>
      </c>
      <c r="N406" s="15">
        <v>87.03</v>
      </c>
      <c r="O406" s="15">
        <v>87.03</v>
      </c>
      <c r="P406" s="15">
        <v>87.09</v>
      </c>
      <c r="Q406" s="15"/>
      <c r="R406" s="11" t="s">
        <v>1167</v>
      </c>
    </row>
    <row r="407" spans="2:18" x14ac:dyDescent="0.3">
      <c r="B407" s="15" t="s">
        <v>653</v>
      </c>
      <c r="C407" s="15">
        <v>88.03</v>
      </c>
      <c r="D407" s="15">
        <v>88.03</v>
      </c>
      <c r="E407" s="15">
        <v>86.03</v>
      </c>
      <c r="F407" s="15">
        <v>2</v>
      </c>
      <c r="G407" s="15">
        <v>2</v>
      </c>
      <c r="H407" s="15">
        <v>200</v>
      </c>
      <c r="I407" s="15">
        <v>87.03</v>
      </c>
      <c r="J407" s="15"/>
      <c r="K407" s="15"/>
      <c r="L407" s="15">
        <v>200</v>
      </c>
      <c r="M407" s="15" t="s">
        <v>654</v>
      </c>
      <c r="N407" s="15">
        <v>86.97</v>
      </c>
      <c r="O407" s="15">
        <v>86.97</v>
      </c>
      <c r="P407" s="15">
        <v>87.03</v>
      </c>
      <c r="Q407" s="15"/>
      <c r="R407" s="11" t="s">
        <v>1167</v>
      </c>
    </row>
    <row r="408" spans="2:18" x14ac:dyDescent="0.3">
      <c r="B408" s="15" t="s">
        <v>655</v>
      </c>
      <c r="C408" s="15">
        <v>76.91</v>
      </c>
      <c r="D408" s="15">
        <v>76.91</v>
      </c>
      <c r="E408" s="15">
        <v>75.14</v>
      </c>
      <c r="F408" s="15">
        <v>1.77</v>
      </c>
      <c r="G408" s="15">
        <v>2</v>
      </c>
      <c r="H408" s="15">
        <v>200</v>
      </c>
      <c r="I408" s="15">
        <v>76.14</v>
      </c>
      <c r="J408" s="15"/>
      <c r="K408" s="15"/>
      <c r="L408" s="15">
        <v>200</v>
      </c>
      <c r="M408" s="15" t="s">
        <v>656</v>
      </c>
      <c r="N408" s="15">
        <v>76.09</v>
      </c>
      <c r="O408" s="15">
        <v>76.09</v>
      </c>
      <c r="P408" s="15">
        <v>76.14</v>
      </c>
      <c r="Q408" s="15"/>
      <c r="R408" s="11" t="s">
        <v>1167</v>
      </c>
    </row>
    <row r="409" spans="2:18" x14ac:dyDescent="0.3">
      <c r="B409" s="11" t="s">
        <v>657</v>
      </c>
      <c r="C409" s="11">
        <v>75.16</v>
      </c>
      <c r="D409" s="11">
        <v>75.16</v>
      </c>
      <c r="E409" s="11">
        <v>73.37</v>
      </c>
      <c r="F409" s="11">
        <v>1.79</v>
      </c>
      <c r="G409" s="10">
        <v>2</v>
      </c>
      <c r="H409" s="11">
        <v>200</v>
      </c>
      <c r="I409" s="11">
        <v>74.37</v>
      </c>
      <c r="J409" s="11"/>
      <c r="K409" s="11"/>
      <c r="L409" s="11">
        <v>200</v>
      </c>
      <c r="M409" s="11" t="s">
        <v>658</v>
      </c>
      <c r="N409" s="11">
        <v>74.319999999999993</v>
      </c>
      <c r="O409" s="11">
        <v>74.319999999999993</v>
      </c>
      <c r="P409" s="11">
        <v>74.37</v>
      </c>
      <c r="Q409" s="11"/>
      <c r="R409" s="11" t="s">
        <v>1167</v>
      </c>
    </row>
    <row r="410" spans="2:18" x14ac:dyDescent="0.3">
      <c r="B410" s="11" t="s">
        <v>659</v>
      </c>
      <c r="C410" s="11">
        <v>75.17</v>
      </c>
      <c r="D410" s="11">
        <v>75.17</v>
      </c>
      <c r="E410" s="11">
        <v>73.36</v>
      </c>
      <c r="F410" s="11">
        <v>1.81</v>
      </c>
      <c r="G410" s="10">
        <v>2</v>
      </c>
      <c r="H410" s="11">
        <v>200</v>
      </c>
      <c r="I410" s="11">
        <v>74.36</v>
      </c>
      <c r="J410" s="11"/>
      <c r="K410" s="11"/>
      <c r="L410" s="11">
        <v>200</v>
      </c>
      <c r="M410" s="11" t="s">
        <v>660</v>
      </c>
      <c r="N410" s="11">
        <v>74.31</v>
      </c>
      <c r="O410" s="11">
        <v>74.31</v>
      </c>
      <c r="P410" s="11">
        <v>74.36</v>
      </c>
      <c r="Q410" s="11"/>
      <c r="R410" s="11" t="s">
        <v>1167</v>
      </c>
    </row>
    <row r="411" spans="2:18" x14ac:dyDescent="0.3">
      <c r="B411" s="11" t="s">
        <v>661</v>
      </c>
      <c r="C411" s="11">
        <v>73.41</v>
      </c>
      <c r="D411" s="11">
        <v>73.41</v>
      </c>
      <c r="E411" s="11">
        <v>71.599999999999994</v>
      </c>
      <c r="F411" s="11">
        <v>1.81</v>
      </c>
      <c r="G411" s="10">
        <v>2</v>
      </c>
      <c r="H411" s="11">
        <v>200</v>
      </c>
      <c r="I411" s="11">
        <v>72.599999999999994</v>
      </c>
      <c r="J411" s="11"/>
      <c r="K411" s="11"/>
      <c r="L411" s="11">
        <v>200</v>
      </c>
      <c r="M411" s="11" t="s">
        <v>662</v>
      </c>
      <c r="N411" s="11">
        <v>72.55</v>
      </c>
      <c r="O411" s="11">
        <v>72.55</v>
      </c>
      <c r="P411" s="11">
        <v>72.599999999999994</v>
      </c>
      <c r="Q411" s="11"/>
      <c r="R411" s="11" t="s">
        <v>1167</v>
      </c>
    </row>
    <row r="412" spans="2:18" x14ac:dyDescent="0.3">
      <c r="B412" s="11" t="s">
        <v>663</v>
      </c>
      <c r="C412" s="11">
        <v>73.41</v>
      </c>
      <c r="D412" s="11">
        <v>73.41</v>
      </c>
      <c r="E412" s="11">
        <v>71.599999999999994</v>
      </c>
      <c r="F412" s="11">
        <v>1.81</v>
      </c>
      <c r="G412" s="10">
        <v>2</v>
      </c>
      <c r="H412" s="11">
        <v>200</v>
      </c>
      <c r="I412" s="11">
        <v>72.599999999999994</v>
      </c>
      <c r="J412" s="11"/>
      <c r="K412" s="11"/>
      <c r="L412" s="11">
        <v>200</v>
      </c>
      <c r="M412" s="11" t="s">
        <v>664</v>
      </c>
      <c r="N412" s="11">
        <v>72.55</v>
      </c>
      <c r="O412" s="11">
        <v>72.55</v>
      </c>
      <c r="P412" s="11">
        <v>72.599999999999994</v>
      </c>
      <c r="Q412" s="11"/>
      <c r="R412" s="11" t="s">
        <v>1167</v>
      </c>
    </row>
    <row r="413" spans="2:18" x14ac:dyDescent="0.3">
      <c r="B413" s="11" t="s">
        <v>665</v>
      </c>
      <c r="C413" s="11">
        <v>71.63</v>
      </c>
      <c r="D413" s="11">
        <v>71.63</v>
      </c>
      <c r="E413" s="11">
        <v>69.8</v>
      </c>
      <c r="F413" s="11">
        <v>1.83</v>
      </c>
      <c r="G413" s="10">
        <v>2</v>
      </c>
      <c r="H413" s="11">
        <v>200</v>
      </c>
      <c r="I413" s="11">
        <v>70.8</v>
      </c>
      <c r="J413" s="11"/>
      <c r="K413" s="11"/>
      <c r="L413" s="11">
        <v>200</v>
      </c>
      <c r="M413" s="11" t="s">
        <v>666</v>
      </c>
      <c r="N413" s="11">
        <v>70.75</v>
      </c>
      <c r="O413" s="11">
        <v>70.75</v>
      </c>
      <c r="P413" s="11">
        <v>70.8</v>
      </c>
      <c r="Q413" s="11"/>
      <c r="R413" s="11" t="s">
        <v>1167</v>
      </c>
    </row>
    <row r="414" spans="2:18" x14ac:dyDescent="0.3">
      <c r="B414" s="11" t="s">
        <v>667</v>
      </c>
      <c r="C414" s="11">
        <v>71.66</v>
      </c>
      <c r="D414" s="11">
        <v>71.66</v>
      </c>
      <c r="E414" s="11">
        <v>69.84</v>
      </c>
      <c r="F414" s="11">
        <v>1.82</v>
      </c>
      <c r="G414" s="10">
        <v>2</v>
      </c>
      <c r="H414" s="11">
        <v>200</v>
      </c>
      <c r="I414" s="11">
        <v>70.84</v>
      </c>
      <c r="J414" s="11"/>
      <c r="K414" s="11"/>
      <c r="L414" s="11">
        <v>200</v>
      </c>
      <c r="M414" s="11" t="s">
        <v>668</v>
      </c>
      <c r="N414" s="11">
        <v>70.790000000000006</v>
      </c>
      <c r="O414" s="11">
        <v>70.790000000000006</v>
      </c>
      <c r="P414" s="11">
        <v>70.84</v>
      </c>
      <c r="Q414" s="11"/>
      <c r="R414" s="11" t="s">
        <v>1167</v>
      </c>
    </row>
    <row r="415" spans="2:18" x14ac:dyDescent="0.3">
      <c r="B415" s="11" t="s">
        <v>669</v>
      </c>
      <c r="C415" s="11">
        <v>69.88</v>
      </c>
      <c r="D415" s="11">
        <v>69.88</v>
      </c>
      <c r="E415" s="11">
        <v>68.040000000000006</v>
      </c>
      <c r="F415" s="11">
        <v>1.84</v>
      </c>
      <c r="G415" s="10">
        <v>2</v>
      </c>
      <c r="H415" s="11">
        <v>200</v>
      </c>
      <c r="I415" s="11">
        <v>69.040000000000006</v>
      </c>
      <c r="J415" s="11"/>
      <c r="K415" s="11"/>
      <c r="L415" s="11">
        <v>200</v>
      </c>
      <c r="M415" s="11" t="s">
        <v>670</v>
      </c>
      <c r="N415" s="11">
        <v>68.989999999999995</v>
      </c>
      <c r="O415" s="11">
        <v>68.989999999999995</v>
      </c>
      <c r="P415" s="11">
        <v>69.040000000000006</v>
      </c>
      <c r="Q415" s="11"/>
      <c r="R415" s="11" t="s">
        <v>1167</v>
      </c>
    </row>
    <row r="416" spans="2:18" x14ac:dyDescent="0.3">
      <c r="B416" s="11" t="s">
        <v>671</v>
      </c>
      <c r="C416" s="11">
        <v>69.87</v>
      </c>
      <c r="D416" s="11">
        <v>69.87</v>
      </c>
      <c r="E416" s="11">
        <v>68.06</v>
      </c>
      <c r="F416" s="11">
        <v>1.81</v>
      </c>
      <c r="G416" s="10">
        <v>2</v>
      </c>
      <c r="H416" s="11">
        <v>200</v>
      </c>
      <c r="I416" s="11">
        <v>69.06</v>
      </c>
      <c r="J416" s="11"/>
      <c r="K416" s="11"/>
      <c r="L416" s="11">
        <v>200</v>
      </c>
      <c r="M416" s="11" t="s">
        <v>672</v>
      </c>
      <c r="N416" s="11">
        <v>69.010000000000005</v>
      </c>
      <c r="O416" s="11">
        <v>69.010000000000005</v>
      </c>
      <c r="P416" s="11">
        <v>69.06</v>
      </c>
      <c r="Q416" s="11"/>
      <c r="R416" s="11" t="s">
        <v>1167</v>
      </c>
    </row>
    <row r="417" spans="2:18" x14ac:dyDescent="0.3">
      <c r="B417" s="11" t="s">
        <v>673</v>
      </c>
      <c r="C417" s="11">
        <v>68.12</v>
      </c>
      <c r="D417" s="11">
        <v>68.12</v>
      </c>
      <c r="E417" s="11">
        <v>66.3</v>
      </c>
      <c r="F417" s="11">
        <v>1.82</v>
      </c>
      <c r="G417" s="10">
        <v>2</v>
      </c>
      <c r="H417" s="11">
        <v>200</v>
      </c>
      <c r="I417" s="11">
        <v>67.3</v>
      </c>
      <c r="J417" s="11"/>
      <c r="K417" s="11"/>
      <c r="L417" s="11">
        <v>200</v>
      </c>
      <c r="M417" s="11" t="s">
        <v>674</v>
      </c>
      <c r="N417" s="11">
        <v>67.25</v>
      </c>
      <c r="O417" s="11">
        <v>67.25</v>
      </c>
      <c r="P417" s="11">
        <v>67.3</v>
      </c>
      <c r="Q417" s="11"/>
      <c r="R417" s="11" t="s">
        <v>1167</v>
      </c>
    </row>
    <row r="418" spans="2:18" x14ac:dyDescent="0.3">
      <c r="B418" s="11" t="s">
        <v>675</v>
      </c>
      <c r="C418" s="11">
        <v>68.13</v>
      </c>
      <c r="D418" s="11">
        <v>68.13</v>
      </c>
      <c r="E418" s="11">
        <v>66.31</v>
      </c>
      <c r="F418" s="11">
        <v>1.82</v>
      </c>
      <c r="G418" s="10">
        <v>2</v>
      </c>
      <c r="H418" s="11">
        <v>200</v>
      </c>
      <c r="I418" s="11">
        <v>67.31</v>
      </c>
      <c r="J418" s="11"/>
      <c r="K418" s="11"/>
      <c r="L418" s="11">
        <v>200</v>
      </c>
      <c r="M418" s="11" t="s">
        <v>676</v>
      </c>
      <c r="N418" s="11">
        <v>67.260000000000005</v>
      </c>
      <c r="O418" s="11">
        <v>67.260000000000005</v>
      </c>
      <c r="P418" s="11">
        <v>67.31</v>
      </c>
      <c r="Q418" s="11"/>
      <c r="R418" s="11" t="s">
        <v>1167</v>
      </c>
    </row>
    <row r="419" spans="2:18" x14ac:dyDescent="0.3">
      <c r="B419" s="11" t="s">
        <v>677</v>
      </c>
      <c r="C419" s="11">
        <v>66.319999999999993</v>
      </c>
      <c r="D419" s="11">
        <v>66.319999999999993</v>
      </c>
      <c r="E419" s="11">
        <v>64.52</v>
      </c>
      <c r="F419" s="11">
        <v>1.8</v>
      </c>
      <c r="G419" s="10">
        <v>2</v>
      </c>
      <c r="H419" s="11">
        <v>200</v>
      </c>
      <c r="I419" s="11">
        <v>65.52</v>
      </c>
      <c r="J419" s="11"/>
      <c r="K419" s="11"/>
      <c r="L419" s="11">
        <v>200</v>
      </c>
      <c r="M419" s="11" t="s">
        <v>678</v>
      </c>
      <c r="N419" s="11">
        <v>65.47</v>
      </c>
      <c r="O419" s="11">
        <v>65.47</v>
      </c>
      <c r="P419" s="11">
        <v>65.52</v>
      </c>
      <c r="Q419" s="11"/>
      <c r="R419" s="11" t="s">
        <v>1167</v>
      </c>
    </row>
    <row r="420" spans="2:18" x14ac:dyDescent="0.3">
      <c r="B420" s="11" t="s">
        <v>679</v>
      </c>
      <c r="C420" s="11">
        <v>66.349999999999994</v>
      </c>
      <c r="D420" s="11">
        <v>66.349999999999994</v>
      </c>
      <c r="E420" s="11">
        <v>64.53</v>
      </c>
      <c r="F420" s="11">
        <v>1.82</v>
      </c>
      <c r="G420" s="10">
        <v>2</v>
      </c>
      <c r="H420" s="11">
        <v>200</v>
      </c>
      <c r="I420" s="11">
        <v>65.53</v>
      </c>
      <c r="J420" s="11"/>
      <c r="K420" s="11"/>
      <c r="L420" s="11">
        <v>200</v>
      </c>
      <c r="M420" s="11" t="s">
        <v>680</v>
      </c>
      <c r="N420" s="11">
        <v>65.48</v>
      </c>
      <c r="O420" s="11">
        <v>65.48</v>
      </c>
      <c r="P420" s="11">
        <v>65.53</v>
      </c>
      <c r="Q420" s="11"/>
      <c r="R420" s="11" t="s">
        <v>1167</v>
      </c>
    </row>
    <row r="421" spans="2:18" x14ac:dyDescent="0.3">
      <c r="B421" s="11" t="s">
        <v>681</v>
      </c>
      <c r="C421" s="11">
        <v>64.55</v>
      </c>
      <c r="D421" s="11">
        <v>64.55</v>
      </c>
      <c r="E421" s="11">
        <v>62.72</v>
      </c>
      <c r="F421" s="11">
        <v>1.83</v>
      </c>
      <c r="G421" s="10">
        <v>2</v>
      </c>
      <c r="H421" s="11">
        <v>200</v>
      </c>
      <c r="I421" s="11">
        <v>63.72</v>
      </c>
      <c r="J421" s="11"/>
      <c r="K421" s="11"/>
      <c r="L421" s="11">
        <v>200</v>
      </c>
      <c r="M421" s="11" t="s">
        <v>682</v>
      </c>
      <c r="N421" s="11">
        <v>63.67</v>
      </c>
      <c r="O421" s="11">
        <v>63.67</v>
      </c>
      <c r="P421" s="11">
        <v>63.72</v>
      </c>
      <c r="Q421" s="11"/>
      <c r="R421" s="11" t="s">
        <v>1167</v>
      </c>
    </row>
    <row r="422" spans="2:18" x14ac:dyDescent="0.3">
      <c r="B422" s="11" t="s">
        <v>683</v>
      </c>
      <c r="C422" s="11">
        <v>64.52</v>
      </c>
      <c r="D422" s="11">
        <v>64.52</v>
      </c>
      <c r="E422" s="11">
        <v>62.7</v>
      </c>
      <c r="F422" s="11">
        <v>1.82</v>
      </c>
      <c r="G422" s="10">
        <v>2</v>
      </c>
      <c r="H422" s="11">
        <v>200</v>
      </c>
      <c r="I422" s="11">
        <v>63.7</v>
      </c>
      <c r="J422" s="11"/>
      <c r="K422" s="11"/>
      <c r="L422" s="11">
        <v>200</v>
      </c>
      <c r="M422" s="11" t="s">
        <v>684</v>
      </c>
      <c r="N422" s="11">
        <v>63.65</v>
      </c>
      <c r="O422" s="11">
        <v>63.65</v>
      </c>
      <c r="P422" s="11">
        <v>63.7</v>
      </c>
      <c r="Q422" s="11"/>
      <c r="R422" s="11" t="s">
        <v>1167</v>
      </c>
    </row>
    <row r="423" spans="2:18" x14ac:dyDescent="0.3">
      <c r="B423" s="11" t="s">
        <v>685</v>
      </c>
      <c r="C423" s="11">
        <v>62.51</v>
      </c>
      <c r="D423" s="11">
        <v>62.51</v>
      </c>
      <c r="E423" s="11">
        <v>60.75</v>
      </c>
      <c r="F423" s="11">
        <v>1.76</v>
      </c>
      <c r="G423" s="10">
        <v>2</v>
      </c>
      <c r="H423" s="11">
        <v>200</v>
      </c>
      <c r="I423" s="11">
        <v>61.75</v>
      </c>
      <c r="J423" s="11"/>
      <c r="K423" s="11"/>
      <c r="L423" s="11">
        <v>200</v>
      </c>
      <c r="M423" s="11" t="s">
        <v>686</v>
      </c>
      <c r="N423" s="11">
        <v>61.7</v>
      </c>
      <c r="O423" s="11">
        <v>61.7</v>
      </c>
      <c r="P423" s="11">
        <v>61.75</v>
      </c>
      <c r="Q423" s="11"/>
      <c r="R423" s="11" t="s">
        <v>1167</v>
      </c>
    </row>
    <row r="424" spans="2:18" x14ac:dyDescent="0.3">
      <c r="B424" s="11" t="s">
        <v>687</v>
      </c>
      <c r="C424" s="11">
        <v>62.53</v>
      </c>
      <c r="D424" s="11">
        <v>62.53</v>
      </c>
      <c r="E424" s="11">
        <v>60.75</v>
      </c>
      <c r="F424" s="11">
        <v>1.78</v>
      </c>
      <c r="G424" s="10">
        <v>2</v>
      </c>
      <c r="H424" s="11">
        <v>200</v>
      </c>
      <c r="I424" s="11">
        <v>61.75</v>
      </c>
      <c r="J424" s="11"/>
      <c r="K424" s="11"/>
      <c r="L424" s="11">
        <v>200</v>
      </c>
      <c r="M424" s="11" t="s">
        <v>688</v>
      </c>
      <c r="N424" s="11">
        <v>61.7</v>
      </c>
      <c r="O424" s="11">
        <v>61.7</v>
      </c>
      <c r="P424" s="11">
        <v>61.75</v>
      </c>
      <c r="Q424" s="11"/>
      <c r="R424" s="11" t="s">
        <v>1167</v>
      </c>
    </row>
    <row r="425" spans="2:18" x14ac:dyDescent="0.3">
      <c r="B425" s="11" t="s">
        <v>689</v>
      </c>
      <c r="C425" s="11">
        <v>60.98</v>
      </c>
      <c r="D425" s="11">
        <v>60.98</v>
      </c>
      <c r="E425" s="11">
        <v>59.1</v>
      </c>
      <c r="F425" s="11">
        <v>1.88</v>
      </c>
      <c r="G425" s="10">
        <v>2</v>
      </c>
      <c r="H425" s="11">
        <v>200</v>
      </c>
      <c r="I425" s="11">
        <v>60.1</v>
      </c>
      <c r="J425" s="11"/>
      <c r="K425" s="11"/>
      <c r="L425" s="11">
        <v>200</v>
      </c>
      <c r="M425" s="11" t="s">
        <v>690</v>
      </c>
      <c r="N425" s="11">
        <v>60.01</v>
      </c>
      <c r="O425" s="11">
        <v>60.01</v>
      </c>
      <c r="P425" s="11">
        <v>60.1</v>
      </c>
      <c r="Q425" s="11"/>
      <c r="R425" s="11" t="s">
        <v>1167</v>
      </c>
    </row>
    <row r="426" spans="2:18" x14ac:dyDescent="0.3">
      <c r="B426" s="11" t="s">
        <v>691</v>
      </c>
      <c r="C426" s="11">
        <v>60.82</v>
      </c>
      <c r="D426" s="11">
        <v>60.82</v>
      </c>
      <c r="E426" s="11">
        <v>59.14</v>
      </c>
      <c r="F426" s="11">
        <v>1.68</v>
      </c>
      <c r="G426" s="10">
        <v>2</v>
      </c>
      <c r="H426" s="11">
        <v>200</v>
      </c>
      <c r="I426" s="11">
        <v>60.14</v>
      </c>
      <c r="J426" s="11"/>
      <c r="K426" s="11"/>
      <c r="L426" s="11">
        <v>200</v>
      </c>
      <c r="M426" s="11" t="s">
        <v>692</v>
      </c>
      <c r="N426" s="11">
        <v>60.05</v>
      </c>
      <c r="O426" s="11">
        <v>60.05</v>
      </c>
      <c r="P426" s="11">
        <v>60.14</v>
      </c>
      <c r="Q426" s="11"/>
      <c r="R426" s="11" t="s">
        <v>1167</v>
      </c>
    </row>
    <row r="427" spans="2:18" x14ac:dyDescent="0.3">
      <c r="B427" s="15" t="s">
        <v>693</v>
      </c>
      <c r="C427" s="15">
        <v>61.22</v>
      </c>
      <c r="D427" s="15">
        <v>61.22</v>
      </c>
      <c r="E427" s="15">
        <v>59.2</v>
      </c>
      <c r="F427" s="15">
        <v>2.02</v>
      </c>
      <c r="G427" s="15">
        <v>2</v>
      </c>
      <c r="H427" s="15">
        <v>200</v>
      </c>
      <c r="I427" s="15">
        <v>60.2</v>
      </c>
      <c r="J427" s="15"/>
      <c r="K427" s="15"/>
      <c r="L427" s="15">
        <v>200</v>
      </c>
      <c r="M427" s="15" t="s">
        <v>694</v>
      </c>
      <c r="N427" s="15">
        <v>60.04</v>
      </c>
      <c r="O427" s="15">
        <v>60.04</v>
      </c>
      <c r="P427" s="15">
        <v>60.2</v>
      </c>
      <c r="Q427" s="15"/>
      <c r="R427" s="11" t="s">
        <v>1221</v>
      </c>
    </row>
    <row r="428" spans="2:18" x14ac:dyDescent="0.3">
      <c r="B428" s="11" t="s">
        <v>695</v>
      </c>
      <c r="C428" s="11">
        <v>54.59</v>
      </c>
      <c r="D428" s="11">
        <v>54.59</v>
      </c>
      <c r="E428" s="11">
        <v>52.39</v>
      </c>
      <c r="F428" s="11">
        <v>2.2000000000000002</v>
      </c>
      <c r="G428" s="10">
        <v>9</v>
      </c>
      <c r="H428" s="11">
        <v>200</v>
      </c>
      <c r="I428" s="11">
        <v>53.39</v>
      </c>
      <c r="J428" s="11"/>
      <c r="K428" s="11"/>
      <c r="L428" s="11">
        <v>200</v>
      </c>
      <c r="M428" s="11" t="s">
        <v>696</v>
      </c>
      <c r="N428" s="11">
        <v>52.69</v>
      </c>
      <c r="O428" s="11">
        <v>52.69</v>
      </c>
      <c r="P428" s="11">
        <v>53.39</v>
      </c>
      <c r="Q428" s="11"/>
      <c r="R428" s="11" t="s">
        <v>1221</v>
      </c>
    </row>
    <row r="429" spans="2:18" x14ac:dyDescent="0.3">
      <c r="B429" s="11" t="s">
        <v>697</v>
      </c>
      <c r="C429" s="11">
        <v>56.25</v>
      </c>
      <c r="D429" s="11">
        <v>56.25</v>
      </c>
      <c r="E429" s="11">
        <v>54.05</v>
      </c>
      <c r="F429" s="11">
        <v>2.2000000000000002</v>
      </c>
      <c r="G429" s="10">
        <v>9</v>
      </c>
      <c r="H429" s="11">
        <v>200</v>
      </c>
      <c r="I429" s="11">
        <v>55.05</v>
      </c>
      <c r="J429" s="11"/>
      <c r="K429" s="11"/>
      <c r="L429" s="11">
        <v>200</v>
      </c>
      <c r="M429" s="11" t="s">
        <v>698</v>
      </c>
      <c r="N429" s="11">
        <v>53.83</v>
      </c>
      <c r="O429" s="11">
        <v>53.83</v>
      </c>
      <c r="P429" s="11">
        <v>55.05</v>
      </c>
      <c r="Q429" s="11"/>
      <c r="R429" s="11" t="s">
        <v>1221</v>
      </c>
    </row>
    <row r="430" spans="2:18" x14ac:dyDescent="0.3">
      <c r="B430" s="11" t="s">
        <v>699</v>
      </c>
      <c r="C430" s="11">
        <v>84.09</v>
      </c>
      <c r="D430" s="11">
        <v>84.09</v>
      </c>
      <c r="E430" s="11">
        <v>82.06</v>
      </c>
      <c r="F430" s="11">
        <v>2.0299999999999998</v>
      </c>
      <c r="G430" s="10">
        <v>0.5</v>
      </c>
      <c r="H430" s="11">
        <v>200</v>
      </c>
      <c r="I430" s="11">
        <v>83.06</v>
      </c>
      <c r="J430" s="11"/>
      <c r="K430" s="11"/>
      <c r="L430" s="11">
        <v>200</v>
      </c>
      <c r="M430" s="11" t="s">
        <v>700</v>
      </c>
      <c r="N430" s="11">
        <v>83.02</v>
      </c>
      <c r="O430" s="11">
        <v>83.02</v>
      </c>
      <c r="P430" s="11">
        <v>83.06</v>
      </c>
      <c r="Q430" s="11"/>
      <c r="R430" s="11" t="s">
        <v>1221</v>
      </c>
    </row>
    <row r="431" spans="2:18" x14ac:dyDescent="0.3">
      <c r="B431" s="11" t="s">
        <v>701</v>
      </c>
      <c r="C431" s="11">
        <v>84.46</v>
      </c>
      <c r="D431" s="11">
        <v>84.46</v>
      </c>
      <c r="E431" s="11">
        <v>82.4</v>
      </c>
      <c r="F431" s="11">
        <v>2.06</v>
      </c>
      <c r="G431" s="10">
        <v>2</v>
      </c>
      <c r="H431" s="11">
        <v>200</v>
      </c>
      <c r="I431" s="11">
        <v>83.4</v>
      </c>
      <c r="J431" s="11"/>
      <c r="K431" s="11"/>
      <c r="L431" s="11">
        <v>200</v>
      </c>
      <c r="M431" s="11" t="s">
        <v>702</v>
      </c>
      <c r="N431" s="11">
        <v>83.23</v>
      </c>
      <c r="O431" s="11">
        <v>83.23</v>
      </c>
      <c r="P431" s="11">
        <v>83.4</v>
      </c>
      <c r="Q431" s="11"/>
      <c r="R431" s="11" t="s">
        <v>1221</v>
      </c>
    </row>
    <row r="432" spans="2:18" x14ac:dyDescent="0.3">
      <c r="B432" s="11" t="s">
        <v>703</v>
      </c>
      <c r="C432" s="11">
        <v>84.19</v>
      </c>
      <c r="D432" s="11">
        <v>84.19</v>
      </c>
      <c r="E432" s="11">
        <v>81.99</v>
      </c>
      <c r="F432" s="11">
        <v>2.2000000000000002</v>
      </c>
      <c r="G432" s="10">
        <v>9</v>
      </c>
      <c r="H432" s="11">
        <v>200</v>
      </c>
      <c r="I432" s="11">
        <v>82.99</v>
      </c>
      <c r="J432" s="11"/>
      <c r="K432" s="11"/>
      <c r="L432" s="11">
        <v>200</v>
      </c>
      <c r="M432" s="11" t="s">
        <v>704</v>
      </c>
      <c r="N432" s="11">
        <v>82.65</v>
      </c>
      <c r="O432" s="11">
        <v>82.65</v>
      </c>
      <c r="P432" s="11">
        <v>82.99</v>
      </c>
      <c r="Q432" s="11"/>
      <c r="R432" s="11" t="s">
        <v>1221</v>
      </c>
    </row>
    <row r="433" spans="2:18" x14ac:dyDescent="0.3">
      <c r="B433" s="11" t="s">
        <v>705</v>
      </c>
      <c r="C433" s="11">
        <v>84.19</v>
      </c>
      <c r="D433" s="11">
        <v>84.19</v>
      </c>
      <c r="E433" s="11">
        <v>81.99</v>
      </c>
      <c r="F433" s="11">
        <v>2.2000000000000002</v>
      </c>
      <c r="G433" s="10">
        <v>8.92</v>
      </c>
      <c r="H433" s="11">
        <v>200</v>
      </c>
      <c r="I433" s="11">
        <v>82.99</v>
      </c>
      <c r="J433" s="11"/>
      <c r="K433" s="11"/>
      <c r="L433" s="11">
        <v>200</v>
      </c>
      <c r="M433" s="11" t="s">
        <v>706</v>
      </c>
      <c r="N433" s="11">
        <v>82.63</v>
      </c>
      <c r="O433" s="11">
        <v>82.63</v>
      </c>
      <c r="P433" s="11">
        <v>82.99</v>
      </c>
      <c r="Q433" s="11"/>
      <c r="R433" s="11" t="s">
        <v>1221</v>
      </c>
    </row>
    <row r="434" spans="2:18" x14ac:dyDescent="0.3">
      <c r="B434" s="11" t="s">
        <v>707</v>
      </c>
      <c r="C434" s="11">
        <v>84.68</v>
      </c>
      <c r="D434" s="11">
        <v>84.68</v>
      </c>
      <c r="E434" s="11">
        <v>82.53</v>
      </c>
      <c r="F434" s="11">
        <v>2.15</v>
      </c>
      <c r="G434" s="10">
        <v>2</v>
      </c>
      <c r="H434" s="11">
        <v>200</v>
      </c>
      <c r="I434" s="11">
        <v>83.53</v>
      </c>
      <c r="J434" s="11"/>
      <c r="K434" s="11"/>
      <c r="L434" s="11">
        <v>200</v>
      </c>
      <c r="M434" s="11" t="s">
        <v>708</v>
      </c>
      <c r="N434" s="11">
        <v>83.48</v>
      </c>
      <c r="O434" s="11">
        <v>83.48</v>
      </c>
      <c r="P434" s="11">
        <v>83.53</v>
      </c>
      <c r="Q434" s="11"/>
      <c r="R434" s="11" t="s">
        <v>1221</v>
      </c>
    </row>
    <row r="435" spans="2:18" x14ac:dyDescent="0.3">
      <c r="B435" s="11" t="s">
        <v>709</v>
      </c>
      <c r="C435" s="11">
        <v>84.68</v>
      </c>
      <c r="D435" s="11">
        <v>84.68</v>
      </c>
      <c r="E435" s="11">
        <v>82.47</v>
      </c>
      <c r="F435" s="11">
        <v>2.21</v>
      </c>
      <c r="G435" s="10">
        <v>2</v>
      </c>
      <c r="H435" s="11">
        <v>200</v>
      </c>
      <c r="I435" s="11">
        <v>83.47</v>
      </c>
      <c r="J435" s="11"/>
      <c r="K435" s="11"/>
      <c r="L435" s="11">
        <v>200</v>
      </c>
      <c r="M435" s="11" t="s">
        <v>710</v>
      </c>
      <c r="N435" s="11">
        <v>83.42</v>
      </c>
      <c r="O435" s="11">
        <v>83.42</v>
      </c>
      <c r="P435" s="11">
        <v>83.47</v>
      </c>
      <c r="Q435" s="11"/>
      <c r="R435" s="11" t="s">
        <v>1221</v>
      </c>
    </row>
    <row r="436" spans="2:18" x14ac:dyDescent="0.3">
      <c r="B436" s="11" t="s">
        <v>711</v>
      </c>
      <c r="C436" s="11">
        <v>85.13</v>
      </c>
      <c r="D436" s="11">
        <v>85.13</v>
      </c>
      <c r="E436" s="11">
        <v>82.8</v>
      </c>
      <c r="F436" s="11">
        <v>2.33</v>
      </c>
      <c r="G436" s="10">
        <v>9</v>
      </c>
      <c r="H436" s="11">
        <v>200</v>
      </c>
      <c r="I436" s="11">
        <v>83.8</v>
      </c>
      <c r="J436" s="11"/>
      <c r="K436" s="11"/>
      <c r="L436" s="11">
        <v>200</v>
      </c>
      <c r="M436" s="11" t="s">
        <v>712</v>
      </c>
      <c r="N436" s="11">
        <v>83.57</v>
      </c>
      <c r="O436" s="11">
        <v>83.57</v>
      </c>
      <c r="P436" s="11">
        <v>83.8</v>
      </c>
      <c r="Q436" s="11"/>
      <c r="R436" s="11" t="s">
        <v>1221</v>
      </c>
    </row>
    <row r="437" spans="2:18" x14ac:dyDescent="0.3">
      <c r="B437" s="11" t="s">
        <v>713</v>
      </c>
      <c r="C437" s="11">
        <v>85.13</v>
      </c>
      <c r="D437" s="11">
        <v>85.13</v>
      </c>
      <c r="E437" s="11">
        <v>82.74</v>
      </c>
      <c r="F437" s="11">
        <v>2.39</v>
      </c>
      <c r="G437" s="10">
        <v>9</v>
      </c>
      <c r="H437" s="11">
        <v>200</v>
      </c>
      <c r="I437" s="11">
        <v>83.74</v>
      </c>
      <c r="J437" s="11"/>
      <c r="K437" s="11"/>
      <c r="L437" s="11">
        <v>200</v>
      </c>
      <c r="M437" s="11" t="s">
        <v>714</v>
      </c>
      <c r="N437" s="11">
        <v>83.5</v>
      </c>
      <c r="O437" s="11">
        <v>83.5</v>
      </c>
      <c r="P437" s="11">
        <v>83.74</v>
      </c>
      <c r="Q437" s="11"/>
      <c r="R437" s="11" t="s">
        <v>1221</v>
      </c>
    </row>
    <row r="438" spans="2:18" x14ac:dyDescent="0.3">
      <c r="B438" s="11" t="s">
        <v>715</v>
      </c>
      <c r="C438" s="11">
        <v>41.72</v>
      </c>
      <c r="D438" s="11">
        <v>41.72</v>
      </c>
      <c r="E438" s="11">
        <v>39.6</v>
      </c>
      <c r="F438" s="11">
        <v>2.12</v>
      </c>
      <c r="G438" s="10">
        <v>2</v>
      </c>
      <c r="H438" s="11">
        <v>200</v>
      </c>
      <c r="I438" s="11">
        <v>40.6</v>
      </c>
      <c r="J438" s="11"/>
      <c r="K438" s="11"/>
      <c r="L438" s="11">
        <v>200</v>
      </c>
      <c r="M438" s="11" t="s">
        <v>716</v>
      </c>
      <c r="N438" s="11">
        <v>40.46</v>
      </c>
      <c r="O438" s="11">
        <v>40.46</v>
      </c>
      <c r="P438" s="11">
        <v>40.6</v>
      </c>
      <c r="Q438" s="11"/>
      <c r="R438" s="11" t="s">
        <v>1221</v>
      </c>
    </row>
    <row r="439" spans="2:18" x14ac:dyDescent="0.3">
      <c r="B439" s="11" t="s">
        <v>1254</v>
      </c>
      <c r="C439" s="11">
        <v>48.26</v>
      </c>
      <c r="D439" s="11">
        <v>48.26</v>
      </c>
      <c r="E439" s="11">
        <v>45.75</v>
      </c>
      <c r="F439" s="11">
        <v>2.5099999999999998</v>
      </c>
      <c r="G439" s="11">
        <v>2</v>
      </c>
      <c r="H439" s="11">
        <v>200</v>
      </c>
      <c r="I439" s="11">
        <v>46.75</v>
      </c>
      <c r="J439" s="11"/>
      <c r="K439" s="11"/>
      <c r="L439" s="11">
        <v>200</v>
      </c>
      <c r="M439" s="11" t="s">
        <v>1225</v>
      </c>
      <c r="N439" s="11">
        <v>46.68</v>
      </c>
      <c r="O439" s="11">
        <v>46.68</v>
      </c>
      <c r="P439" s="11">
        <v>46.75</v>
      </c>
      <c r="Q439" s="11"/>
      <c r="R439" s="11" t="s">
        <v>1221</v>
      </c>
    </row>
    <row r="440" spans="2:18" x14ac:dyDescent="0.3">
      <c r="B440" s="11" t="s">
        <v>1255</v>
      </c>
      <c r="C440" s="11">
        <v>48.25</v>
      </c>
      <c r="D440" s="11">
        <v>48.25</v>
      </c>
      <c r="E440" s="11">
        <v>45.95</v>
      </c>
      <c r="F440" s="11">
        <v>2.2999999999999998</v>
      </c>
      <c r="G440" s="11">
        <v>2</v>
      </c>
      <c r="H440" s="11">
        <v>200</v>
      </c>
      <c r="I440" s="11">
        <v>46.95</v>
      </c>
      <c r="J440" s="11"/>
      <c r="K440" s="11"/>
      <c r="L440" s="11">
        <v>200</v>
      </c>
      <c r="M440" s="11" t="s">
        <v>1226</v>
      </c>
      <c r="N440" s="11">
        <v>46.89</v>
      </c>
      <c r="O440" s="11">
        <v>46.89</v>
      </c>
      <c r="P440" s="11">
        <v>46.95</v>
      </c>
      <c r="Q440" s="11"/>
      <c r="R440" s="11" t="s">
        <v>1221</v>
      </c>
    </row>
    <row r="441" spans="2:18" x14ac:dyDescent="0.3">
      <c r="B441" s="11" t="s">
        <v>1256</v>
      </c>
      <c r="C441" s="11">
        <v>61.29</v>
      </c>
      <c r="D441" s="11">
        <v>61.29</v>
      </c>
      <c r="E441" s="11">
        <v>59.08</v>
      </c>
      <c r="F441" s="11">
        <v>2.21</v>
      </c>
      <c r="G441" s="11">
        <v>2</v>
      </c>
      <c r="H441" s="11">
        <v>200</v>
      </c>
      <c r="I441" s="11">
        <v>60.08</v>
      </c>
      <c r="J441" s="11"/>
      <c r="K441" s="11"/>
      <c r="L441" s="11">
        <v>200</v>
      </c>
      <c r="M441" s="11" t="s">
        <v>1227</v>
      </c>
      <c r="N441" s="11">
        <v>60.02</v>
      </c>
      <c r="O441" s="11">
        <v>60.02</v>
      </c>
      <c r="P441" s="11">
        <v>60.08</v>
      </c>
      <c r="Q441" s="11"/>
      <c r="R441" s="11" t="s">
        <v>1221</v>
      </c>
    </row>
    <row r="442" spans="2:18" x14ac:dyDescent="0.3">
      <c r="B442" s="11" t="s">
        <v>1257</v>
      </c>
      <c r="C442" s="11">
        <v>61.05</v>
      </c>
      <c r="D442" s="11">
        <v>61.05</v>
      </c>
      <c r="E442" s="11">
        <v>58.55</v>
      </c>
      <c r="F442" s="11">
        <v>2.5</v>
      </c>
      <c r="G442" s="11">
        <v>9</v>
      </c>
      <c r="H442" s="11">
        <v>200</v>
      </c>
      <c r="I442" s="11">
        <v>59.55</v>
      </c>
      <c r="J442" s="11"/>
      <c r="K442" s="11"/>
      <c r="L442" s="11">
        <v>200</v>
      </c>
      <c r="M442" s="11" t="s">
        <v>1228</v>
      </c>
      <c r="N442" s="11">
        <v>59.06</v>
      </c>
      <c r="O442" s="11">
        <v>59.06</v>
      </c>
      <c r="P442" s="11">
        <v>59.55</v>
      </c>
      <c r="Q442" s="11"/>
      <c r="R442" s="11" t="s">
        <v>1221</v>
      </c>
    </row>
    <row r="443" spans="2:18" x14ac:dyDescent="0.3">
      <c r="B443" s="15" t="s">
        <v>1258</v>
      </c>
      <c r="C443" s="15">
        <v>60.59</v>
      </c>
      <c r="D443" s="15">
        <v>60.59</v>
      </c>
      <c r="E443" s="15">
        <v>58.09</v>
      </c>
      <c r="F443" s="15">
        <v>2.5</v>
      </c>
      <c r="G443" s="15">
        <v>9</v>
      </c>
      <c r="H443" s="15">
        <v>200</v>
      </c>
      <c r="I443" s="15">
        <v>59.09</v>
      </c>
      <c r="J443" s="15"/>
      <c r="K443" s="15"/>
      <c r="L443" s="15">
        <v>200</v>
      </c>
      <c r="M443" s="15" t="s">
        <v>1229</v>
      </c>
      <c r="N443" s="15">
        <v>58.59</v>
      </c>
      <c r="O443" s="15">
        <v>58.59</v>
      </c>
      <c r="P443" s="15">
        <v>59.09</v>
      </c>
      <c r="Q443" s="15"/>
      <c r="R443" s="11" t="s">
        <v>1221</v>
      </c>
    </row>
    <row r="444" spans="2:18" x14ac:dyDescent="0.3">
      <c r="B444" s="15" t="s">
        <v>1259</v>
      </c>
      <c r="C444" s="15">
        <v>60.52</v>
      </c>
      <c r="D444" s="15">
        <v>60.52</v>
      </c>
      <c r="E444" s="15">
        <v>57.83</v>
      </c>
      <c r="F444" s="15">
        <v>2.69</v>
      </c>
      <c r="G444" s="15">
        <v>9</v>
      </c>
      <c r="H444" s="15">
        <v>200</v>
      </c>
      <c r="I444" s="15">
        <v>58.83</v>
      </c>
      <c r="J444" s="15"/>
      <c r="K444" s="15"/>
      <c r="L444" s="15">
        <v>200</v>
      </c>
      <c r="M444" s="15" t="s">
        <v>1230</v>
      </c>
      <c r="N444" s="15">
        <v>58.03</v>
      </c>
      <c r="O444" s="15">
        <v>58.03</v>
      </c>
      <c r="P444" s="15">
        <v>58.83</v>
      </c>
      <c r="Q444" s="15"/>
      <c r="R444" s="11" t="s">
        <v>1221</v>
      </c>
    </row>
    <row r="445" spans="2:18" x14ac:dyDescent="0.3">
      <c r="B445" s="15" t="s">
        <v>1260</v>
      </c>
      <c r="C445" s="15">
        <v>60.87</v>
      </c>
      <c r="D445" s="15">
        <v>60.87</v>
      </c>
      <c r="E445" s="15">
        <v>58.27</v>
      </c>
      <c r="F445" s="15">
        <v>2.6</v>
      </c>
      <c r="G445" s="15">
        <v>6.93</v>
      </c>
      <c r="H445" s="15">
        <v>200</v>
      </c>
      <c r="I445" s="15">
        <v>59.27</v>
      </c>
      <c r="J445" s="15"/>
      <c r="K445" s="15"/>
      <c r="L445" s="15">
        <v>200</v>
      </c>
      <c r="M445" s="15" t="s">
        <v>1231</v>
      </c>
      <c r="N445" s="15">
        <v>58.01</v>
      </c>
      <c r="O445" s="15">
        <v>58.01</v>
      </c>
      <c r="P445" s="15">
        <v>59.27</v>
      </c>
      <c r="Q445" s="15"/>
      <c r="R445" s="11" t="s">
        <v>1221</v>
      </c>
    </row>
    <row r="446" spans="2:18" x14ac:dyDescent="0.3">
      <c r="B446" s="15" t="s">
        <v>1261</v>
      </c>
      <c r="C446" s="15">
        <v>60.9</v>
      </c>
      <c r="D446" s="15">
        <v>60.9</v>
      </c>
      <c r="E446" s="15">
        <v>58.4</v>
      </c>
      <c r="F446" s="15">
        <v>2.5</v>
      </c>
      <c r="G446" s="15">
        <v>9</v>
      </c>
      <c r="H446" s="15">
        <v>200</v>
      </c>
      <c r="I446" s="15">
        <v>59.4</v>
      </c>
      <c r="J446" s="15"/>
      <c r="K446" s="15"/>
      <c r="L446" s="15">
        <v>200</v>
      </c>
      <c r="M446" s="15" t="s">
        <v>1232</v>
      </c>
      <c r="N446" s="15">
        <v>58.89</v>
      </c>
      <c r="O446" s="15">
        <v>58.89</v>
      </c>
      <c r="P446" s="15">
        <v>59.4</v>
      </c>
      <c r="Q446" s="15"/>
      <c r="R446" s="11" t="s">
        <v>1221</v>
      </c>
    </row>
    <row r="447" spans="2:18" x14ac:dyDescent="0.3">
      <c r="B447" s="15" t="s">
        <v>1262</v>
      </c>
      <c r="C447" s="15">
        <v>84.67</v>
      </c>
      <c r="D447" s="15">
        <v>84.67</v>
      </c>
      <c r="E447" s="15">
        <v>82.33</v>
      </c>
      <c r="F447" s="15">
        <v>2.34</v>
      </c>
      <c r="G447" s="15">
        <v>2</v>
      </c>
      <c r="H447" s="15">
        <v>200</v>
      </c>
      <c r="I447" s="15">
        <v>83.33</v>
      </c>
      <c r="J447" s="15"/>
      <c r="K447" s="15"/>
      <c r="L447" s="15">
        <v>200</v>
      </c>
      <c r="M447" s="15" t="s">
        <v>1233</v>
      </c>
      <c r="N447" s="15">
        <v>83.27</v>
      </c>
      <c r="O447" s="15">
        <v>83.27</v>
      </c>
      <c r="P447" s="15">
        <v>83.33</v>
      </c>
      <c r="Q447" s="15"/>
      <c r="R447" s="11" t="s">
        <v>1221</v>
      </c>
    </row>
    <row r="448" spans="2:18" x14ac:dyDescent="0.3">
      <c r="B448" s="15" t="s">
        <v>1263</v>
      </c>
      <c r="C448" s="15">
        <v>84.79</v>
      </c>
      <c r="D448" s="15">
        <v>84.79</v>
      </c>
      <c r="E448" s="15">
        <v>82.34</v>
      </c>
      <c r="F448" s="15">
        <v>2.4500000000000002</v>
      </c>
      <c r="G448" s="15">
        <v>5</v>
      </c>
      <c r="H448" s="15">
        <v>200</v>
      </c>
      <c r="I448" s="15">
        <v>83.34</v>
      </c>
      <c r="J448" s="15"/>
      <c r="K448" s="15"/>
      <c r="L448" s="15">
        <v>200</v>
      </c>
      <c r="M448" s="15" t="s">
        <v>1234</v>
      </c>
      <c r="N448" s="15">
        <v>83.16</v>
      </c>
      <c r="O448" s="15">
        <v>83.16</v>
      </c>
      <c r="P448" s="15">
        <v>83.34</v>
      </c>
      <c r="Q448" s="15"/>
      <c r="R448" s="11" t="s">
        <v>1221</v>
      </c>
    </row>
    <row r="449" spans="2:18" x14ac:dyDescent="0.3">
      <c r="B449" s="15" t="s">
        <v>1264</v>
      </c>
      <c r="C449" s="15">
        <v>84.59</v>
      </c>
      <c r="D449" s="15">
        <v>84.59</v>
      </c>
      <c r="E449" s="15">
        <v>82.21</v>
      </c>
      <c r="F449" s="15">
        <v>2.38</v>
      </c>
      <c r="G449" s="15">
        <v>2</v>
      </c>
      <c r="H449" s="15">
        <v>200</v>
      </c>
      <c r="I449" s="15">
        <v>83.21</v>
      </c>
      <c r="J449" s="15"/>
      <c r="K449" s="15"/>
      <c r="L449" s="15">
        <v>200</v>
      </c>
      <c r="M449" s="15" t="s">
        <v>1235</v>
      </c>
      <c r="N449" s="15">
        <v>83.13</v>
      </c>
      <c r="O449" s="15">
        <v>83.13</v>
      </c>
      <c r="P449" s="15">
        <v>83.21</v>
      </c>
      <c r="Q449" s="15"/>
      <c r="R449" s="11" t="s">
        <v>1221</v>
      </c>
    </row>
    <row r="450" spans="2:18" x14ac:dyDescent="0.3">
      <c r="B450" s="15" t="s">
        <v>1265</v>
      </c>
      <c r="C450" s="15">
        <v>84.1</v>
      </c>
      <c r="D450" s="15">
        <v>84.1</v>
      </c>
      <c r="E450" s="15">
        <v>81.96</v>
      </c>
      <c r="F450" s="15">
        <v>2.14</v>
      </c>
      <c r="G450" s="15">
        <v>0.5</v>
      </c>
      <c r="H450" s="15">
        <v>200</v>
      </c>
      <c r="I450" s="15">
        <v>82.96</v>
      </c>
      <c r="J450" s="15"/>
      <c r="K450" s="15"/>
      <c r="L450" s="15">
        <v>200</v>
      </c>
      <c r="M450" s="15" t="s">
        <v>1236</v>
      </c>
      <c r="N450" s="15">
        <v>82.94</v>
      </c>
      <c r="O450" s="15">
        <v>82.94</v>
      </c>
      <c r="P450" s="15">
        <v>82.96</v>
      </c>
      <c r="Q450" s="15"/>
      <c r="R450" s="11" t="s">
        <v>1221</v>
      </c>
    </row>
    <row r="451" spans="2:18" x14ac:dyDescent="0.3">
      <c r="B451" s="15" t="s">
        <v>1266</v>
      </c>
      <c r="C451" s="15">
        <v>84.36</v>
      </c>
      <c r="D451" s="15">
        <v>84.36</v>
      </c>
      <c r="E451" s="15">
        <v>81.92</v>
      </c>
      <c r="F451" s="15">
        <v>2.44</v>
      </c>
      <c r="G451" s="15">
        <v>2</v>
      </c>
      <c r="H451" s="15">
        <v>200</v>
      </c>
      <c r="I451" s="15">
        <v>82.92</v>
      </c>
      <c r="J451" s="15"/>
      <c r="K451" s="15"/>
      <c r="L451" s="15">
        <v>200</v>
      </c>
      <c r="M451" s="15" t="s">
        <v>1237</v>
      </c>
      <c r="N451" s="15">
        <v>82.85</v>
      </c>
      <c r="O451" s="15">
        <v>82.85</v>
      </c>
      <c r="P451" s="15">
        <v>82.92</v>
      </c>
      <c r="Q451" s="15"/>
      <c r="R451" s="11" t="s">
        <v>1221</v>
      </c>
    </row>
    <row r="452" spans="2:18" x14ac:dyDescent="0.3">
      <c r="B452" s="15" t="s">
        <v>1267</v>
      </c>
      <c r="C452" s="15">
        <v>84.3</v>
      </c>
      <c r="D452" s="15">
        <v>84.3</v>
      </c>
      <c r="E452" s="15">
        <v>81.95</v>
      </c>
      <c r="F452" s="15">
        <v>2.35</v>
      </c>
      <c r="G452" s="15">
        <v>2.23</v>
      </c>
      <c r="H452" s="15">
        <v>200</v>
      </c>
      <c r="I452" s="15">
        <v>82.95</v>
      </c>
      <c r="J452" s="15"/>
      <c r="K452" s="15"/>
      <c r="L452" s="15">
        <v>200</v>
      </c>
      <c r="M452" s="15" t="s">
        <v>1238</v>
      </c>
      <c r="N452" s="15">
        <v>82.83</v>
      </c>
      <c r="O452" s="15">
        <v>82.83</v>
      </c>
      <c r="P452" s="15">
        <v>82.95</v>
      </c>
      <c r="Q452" s="15"/>
      <c r="R452" s="11" t="s">
        <v>1221</v>
      </c>
    </row>
    <row r="453" spans="2:18" x14ac:dyDescent="0.3">
      <c r="B453" s="15" t="s">
        <v>1268</v>
      </c>
      <c r="C453" s="15">
        <v>84.24</v>
      </c>
      <c r="D453" s="15">
        <v>84.24</v>
      </c>
      <c r="E453" s="15">
        <v>81.97</v>
      </c>
      <c r="F453" s="15">
        <v>2.27</v>
      </c>
      <c r="G453" s="15">
        <v>2.11</v>
      </c>
      <c r="H453" s="15">
        <v>200</v>
      </c>
      <c r="I453" s="15">
        <v>82.97</v>
      </c>
      <c r="J453" s="15"/>
      <c r="K453" s="15"/>
      <c r="L453" s="15">
        <v>200</v>
      </c>
      <c r="M453" s="15" t="s">
        <v>1239</v>
      </c>
      <c r="N453" s="15">
        <v>82.75</v>
      </c>
      <c r="O453" s="15">
        <v>82.75</v>
      </c>
      <c r="P453" s="15">
        <v>82.97</v>
      </c>
      <c r="Q453" s="15"/>
      <c r="R453" s="11" t="s">
        <v>1221</v>
      </c>
    </row>
    <row r="454" spans="2:18" x14ac:dyDescent="0.3">
      <c r="B454" s="15" t="s">
        <v>1269</v>
      </c>
      <c r="C454" s="15">
        <v>84.16</v>
      </c>
      <c r="D454" s="15">
        <v>84.16</v>
      </c>
      <c r="E454" s="15">
        <v>81.84</v>
      </c>
      <c r="F454" s="15">
        <v>2.3199999999999998</v>
      </c>
      <c r="G454" s="15">
        <v>2</v>
      </c>
      <c r="H454" s="15">
        <v>200</v>
      </c>
      <c r="I454" s="15">
        <v>82.84</v>
      </c>
      <c r="J454" s="15"/>
      <c r="K454" s="15"/>
      <c r="L454" s="15">
        <v>200</v>
      </c>
      <c r="M454" s="15" t="s">
        <v>1240</v>
      </c>
      <c r="N454" s="15">
        <v>82.48</v>
      </c>
      <c r="O454" s="15">
        <v>82.48</v>
      </c>
      <c r="P454" s="15">
        <v>82.84</v>
      </c>
      <c r="Q454" s="15"/>
      <c r="R454" s="11" t="s">
        <v>1221</v>
      </c>
    </row>
    <row r="455" spans="2:18" x14ac:dyDescent="0.3">
      <c r="B455" s="15" t="s">
        <v>1270</v>
      </c>
      <c r="C455" s="15">
        <v>84.24</v>
      </c>
      <c r="D455" s="15">
        <v>84.24</v>
      </c>
      <c r="E455" s="15">
        <v>81.84</v>
      </c>
      <c r="F455" s="15">
        <v>2.4</v>
      </c>
      <c r="G455" s="15">
        <v>6.88</v>
      </c>
      <c r="H455" s="15">
        <v>200</v>
      </c>
      <c r="I455" s="15">
        <v>82.84</v>
      </c>
      <c r="J455" s="15"/>
      <c r="K455" s="15"/>
      <c r="L455" s="15">
        <v>200</v>
      </c>
      <c r="M455" s="15" t="s">
        <v>1241</v>
      </c>
      <c r="N455" s="15">
        <v>82.58</v>
      </c>
      <c r="O455" s="15">
        <v>82.58</v>
      </c>
      <c r="P455" s="15">
        <v>82.84</v>
      </c>
      <c r="Q455" s="15"/>
      <c r="R455" s="11" t="s">
        <v>1221</v>
      </c>
    </row>
    <row r="456" spans="2:18" x14ac:dyDescent="0.3">
      <c r="B456" s="15" t="s">
        <v>1271</v>
      </c>
      <c r="C456" s="15">
        <v>84.03</v>
      </c>
      <c r="D456" s="15">
        <v>84.03</v>
      </c>
      <c r="E456" s="15">
        <v>82.01</v>
      </c>
      <c r="F456" s="15">
        <v>2.02</v>
      </c>
      <c r="G456" s="15">
        <v>0.5</v>
      </c>
      <c r="H456" s="15">
        <v>200</v>
      </c>
      <c r="I456" s="15">
        <v>83.01</v>
      </c>
      <c r="J456" s="15"/>
      <c r="K456" s="15"/>
      <c r="L456" s="15">
        <v>200</v>
      </c>
      <c r="M456" s="15" t="s">
        <v>1242</v>
      </c>
      <c r="N456" s="15">
        <v>82.99</v>
      </c>
      <c r="O456" s="15">
        <v>82.99</v>
      </c>
      <c r="P456" s="15">
        <v>83.01</v>
      </c>
      <c r="Q456" s="15"/>
      <c r="R456" s="11" t="s">
        <v>1221</v>
      </c>
    </row>
    <row r="457" spans="2:18" x14ac:dyDescent="0.3">
      <c r="B457" s="15" t="s">
        <v>1272</v>
      </c>
      <c r="C457" s="15">
        <v>84.4</v>
      </c>
      <c r="D457" s="15">
        <v>84.4</v>
      </c>
      <c r="E457" s="15">
        <v>81.96</v>
      </c>
      <c r="F457" s="15">
        <v>2.44</v>
      </c>
      <c r="G457" s="15">
        <v>2</v>
      </c>
      <c r="H457" s="15">
        <v>200</v>
      </c>
      <c r="I457" s="15">
        <v>82.96</v>
      </c>
      <c r="J457" s="15"/>
      <c r="K457" s="15"/>
      <c r="L457" s="15">
        <v>200</v>
      </c>
      <c r="M457" s="15" t="s">
        <v>1243</v>
      </c>
      <c r="N457" s="15">
        <v>82.9</v>
      </c>
      <c r="O457" s="15">
        <v>82.9</v>
      </c>
      <c r="P457" s="15">
        <v>82.96</v>
      </c>
      <c r="Q457" s="15"/>
      <c r="R457" s="11" t="s">
        <v>1221</v>
      </c>
    </row>
    <row r="458" spans="2:18" x14ac:dyDescent="0.3">
      <c r="B458" s="11" t="s">
        <v>1273</v>
      </c>
      <c r="C458" s="11">
        <v>84.54</v>
      </c>
      <c r="D458" s="11">
        <v>84.54</v>
      </c>
      <c r="E458" s="11">
        <v>82</v>
      </c>
      <c r="F458" s="11">
        <v>2.54</v>
      </c>
      <c r="G458" s="11">
        <v>7</v>
      </c>
      <c r="H458" s="11">
        <v>200</v>
      </c>
      <c r="I458" s="11">
        <v>83</v>
      </c>
      <c r="J458" s="11"/>
      <c r="K458" s="11"/>
      <c r="L458" s="11">
        <v>200</v>
      </c>
      <c r="M458" s="11" t="s">
        <v>1244</v>
      </c>
      <c r="N458" s="11">
        <v>82.72</v>
      </c>
      <c r="O458" s="11">
        <v>82.72</v>
      </c>
      <c r="P458" s="11">
        <v>83</v>
      </c>
      <c r="Q458" s="11"/>
      <c r="R458" s="11" t="s">
        <v>1221</v>
      </c>
    </row>
    <row r="459" spans="2:18" x14ac:dyDescent="0.3">
      <c r="B459" s="11" t="s">
        <v>1274</v>
      </c>
      <c r="C459" s="11">
        <v>84.31</v>
      </c>
      <c r="D459" s="11">
        <v>84.31</v>
      </c>
      <c r="E459" s="11">
        <v>82.11</v>
      </c>
      <c r="F459" s="11">
        <v>2.2000000000000002</v>
      </c>
      <c r="G459" s="11">
        <v>1.49</v>
      </c>
      <c r="H459" s="11">
        <v>200</v>
      </c>
      <c r="I459" s="11">
        <v>83.11</v>
      </c>
      <c r="J459" s="11"/>
      <c r="K459" s="11"/>
      <c r="L459" s="11">
        <v>200</v>
      </c>
      <c r="M459" s="11" t="s">
        <v>1245</v>
      </c>
      <c r="N459" s="11">
        <v>82.68</v>
      </c>
      <c r="O459" s="11">
        <v>82.68</v>
      </c>
      <c r="P459" s="11">
        <v>83.11</v>
      </c>
      <c r="Q459" s="11"/>
      <c r="R459" s="11" t="s">
        <v>1221</v>
      </c>
    </row>
    <row r="460" spans="2:18" x14ac:dyDescent="0.3">
      <c r="B460" s="11" t="s">
        <v>1275</v>
      </c>
      <c r="C460" s="11">
        <v>84.16</v>
      </c>
      <c r="D460" s="11">
        <v>84.16</v>
      </c>
      <c r="E460" s="11">
        <v>81.96</v>
      </c>
      <c r="F460" s="11">
        <v>2.2000000000000002</v>
      </c>
      <c r="G460" s="11">
        <v>2</v>
      </c>
      <c r="H460" s="11">
        <v>200</v>
      </c>
      <c r="I460" s="11">
        <v>82.96</v>
      </c>
      <c r="J460" s="11"/>
      <c r="K460" s="11"/>
      <c r="L460" s="11">
        <v>200</v>
      </c>
      <c r="M460" s="11" t="s">
        <v>1246</v>
      </c>
      <c r="N460" s="11">
        <v>82.62</v>
      </c>
      <c r="O460" s="11">
        <v>82.62</v>
      </c>
      <c r="P460" s="11">
        <v>82.96</v>
      </c>
      <c r="Q460" s="11"/>
      <c r="R460" s="11" t="s">
        <v>1221</v>
      </c>
    </row>
  </sheetData>
  <mergeCells count="11">
    <mergeCell ref="B4:E4"/>
    <mergeCell ref="B10:H10"/>
    <mergeCell ref="G4:K4"/>
    <mergeCell ref="G5:K5"/>
    <mergeCell ref="G6:K6"/>
    <mergeCell ref="G7:K7"/>
    <mergeCell ref="G8:K8"/>
    <mergeCell ref="B8:E8"/>
    <mergeCell ref="B7:E7"/>
    <mergeCell ref="B6:E6"/>
    <mergeCell ref="B5:E5"/>
  </mergeCells>
  <pageMargins left="0.7" right="0.7" top="0.75" bottom="0.75" header="0.3" footer="0.3"/>
  <pageSetup paperSize="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4:K441"/>
  <sheetViews>
    <sheetView zoomScaleNormal="100" workbookViewId="0">
      <selection activeCell="B10" sqref="B10:H10"/>
    </sheetView>
  </sheetViews>
  <sheetFormatPr defaultRowHeight="14.4" x14ac:dyDescent="0.3"/>
  <cols>
    <col min="1" max="1" width="9.109375" style="1"/>
    <col min="2" max="2" width="12.33203125" style="7" bestFit="1" customWidth="1"/>
    <col min="3" max="5" width="9.109375" style="7" customWidth="1"/>
    <col min="6" max="6" width="9.109375" style="1" customWidth="1"/>
    <col min="7" max="7" width="21.88671875" style="1" customWidth="1"/>
    <col min="8" max="8" width="76.88671875" style="1" bestFit="1" customWidth="1"/>
    <col min="9" max="11" width="9.109375" style="1"/>
  </cols>
  <sheetData>
    <row r="4" spans="2:8" x14ac:dyDescent="0.3">
      <c r="B4" s="7" t="s">
        <v>1297</v>
      </c>
    </row>
    <row r="5" spans="2:8" x14ac:dyDescent="0.3">
      <c r="B5" s="61" t="s">
        <v>725</v>
      </c>
      <c r="C5" s="61"/>
      <c r="D5" s="61"/>
      <c r="E5" s="61"/>
    </row>
    <row r="6" spans="2:8" x14ac:dyDescent="0.3">
      <c r="B6" s="61" t="s">
        <v>726</v>
      </c>
      <c r="C6" s="61"/>
      <c r="D6" s="61"/>
      <c r="E6" s="61"/>
    </row>
    <row r="7" spans="2:8" x14ac:dyDescent="0.3">
      <c r="B7" s="61" t="s">
        <v>739</v>
      </c>
      <c r="C7" s="61"/>
      <c r="D7" s="61"/>
      <c r="E7" s="61"/>
    </row>
    <row r="8" spans="2:8" x14ac:dyDescent="0.3">
      <c r="B8" s="61" t="s">
        <v>740</v>
      </c>
      <c r="C8" s="61"/>
      <c r="D8" s="61"/>
      <c r="E8" s="61"/>
    </row>
    <row r="10" spans="2:8" x14ac:dyDescent="0.3">
      <c r="B10" s="58" t="s">
        <v>1296</v>
      </c>
      <c r="C10" s="58"/>
      <c r="D10" s="58"/>
      <c r="E10" s="58"/>
      <c r="F10" s="58"/>
      <c r="G10" s="58"/>
      <c r="H10" s="58"/>
    </row>
    <row r="11" spans="2:8" x14ac:dyDescent="0.3">
      <c r="B11" s="12" t="s">
        <v>0</v>
      </c>
      <c r="C11" s="12" t="s">
        <v>1</v>
      </c>
      <c r="D11" s="12" t="s">
        <v>2</v>
      </c>
      <c r="E11" s="12" t="s">
        <v>718</v>
      </c>
      <c r="F11" s="12" t="s">
        <v>3</v>
      </c>
      <c r="G11" s="12" t="s">
        <v>1168</v>
      </c>
      <c r="H11" s="12" t="s">
        <v>1294</v>
      </c>
    </row>
    <row r="12" spans="2:8" x14ac:dyDescent="0.3">
      <c r="B12" s="12" t="s">
        <v>4</v>
      </c>
      <c r="C12" s="12">
        <v>41.7</v>
      </c>
      <c r="D12" s="12">
        <v>0.4</v>
      </c>
      <c r="E12" s="12">
        <v>41.7</v>
      </c>
      <c r="F12" s="12" t="s">
        <v>5</v>
      </c>
      <c r="G12" s="12">
        <v>41.4</v>
      </c>
      <c r="H12" s="12" t="s">
        <v>1194</v>
      </c>
    </row>
    <row r="13" spans="2:8" x14ac:dyDescent="0.3">
      <c r="B13" s="12" t="s">
        <v>6</v>
      </c>
      <c r="C13" s="12">
        <v>42.9</v>
      </c>
      <c r="D13" s="12">
        <v>0.4</v>
      </c>
      <c r="E13" s="12">
        <v>42.9</v>
      </c>
      <c r="F13" s="12" t="s">
        <v>5</v>
      </c>
      <c r="G13" s="12">
        <v>42.9</v>
      </c>
      <c r="H13" s="12" t="s">
        <v>1287</v>
      </c>
    </row>
    <row r="14" spans="2:8" x14ac:dyDescent="0.3">
      <c r="B14" s="12" t="s">
        <v>7</v>
      </c>
      <c r="C14" s="12">
        <v>43.4</v>
      </c>
      <c r="D14" s="12">
        <v>0.2</v>
      </c>
      <c r="E14" s="12">
        <v>43.4</v>
      </c>
      <c r="F14" s="12" t="s">
        <v>5</v>
      </c>
      <c r="G14" s="12">
        <v>42.9</v>
      </c>
      <c r="H14" s="12" t="s">
        <v>1195</v>
      </c>
    </row>
    <row r="15" spans="2:8" x14ac:dyDescent="0.3">
      <c r="B15" s="12" t="s">
        <v>8</v>
      </c>
      <c r="C15" s="12">
        <v>43.4</v>
      </c>
      <c r="D15" s="12">
        <v>0.6</v>
      </c>
      <c r="E15" s="12">
        <v>43.4</v>
      </c>
      <c r="F15" s="12" t="s">
        <v>5</v>
      </c>
      <c r="G15" s="12">
        <v>42.9</v>
      </c>
      <c r="H15" s="12" t="s">
        <v>1194</v>
      </c>
    </row>
    <row r="16" spans="2:8" x14ac:dyDescent="0.3">
      <c r="B16" s="12" t="s">
        <v>10</v>
      </c>
      <c r="C16" s="12">
        <v>44.75</v>
      </c>
      <c r="D16" s="12">
        <v>0.5</v>
      </c>
      <c r="E16" s="12">
        <v>44.75</v>
      </c>
      <c r="F16" s="12" t="s">
        <v>5</v>
      </c>
      <c r="G16" s="12">
        <v>44.7</v>
      </c>
      <c r="H16" s="12" t="s">
        <v>1293</v>
      </c>
    </row>
    <row r="17" spans="1:11" x14ac:dyDescent="0.3">
      <c r="B17" s="12" t="s">
        <v>11</v>
      </c>
      <c r="C17" s="12">
        <v>46.62</v>
      </c>
      <c r="D17" s="12">
        <v>0.5</v>
      </c>
      <c r="E17" s="12">
        <v>46.62</v>
      </c>
      <c r="F17" s="12" t="s">
        <v>5</v>
      </c>
      <c r="G17" s="12">
        <v>46.56</v>
      </c>
      <c r="H17" s="12" t="s">
        <v>1293</v>
      </c>
    </row>
    <row r="18" spans="1:11" s="5" customFormat="1" x14ac:dyDescent="0.3">
      <c r="A18" s="1"/>
      <c r="B18" s="12" t="s">
        <v>13</v>
      </c>
      <c r="C18" s="12">
        <v>45.21</v>
      </c>
      <c r="D18" s="12">
        <v>0.4</v>
      </c>
      <c r="E18" s="12">
        <v>45.21</v>
      </c>
      <c r="F18" s="12" t="s">
        <v>5</v>
      </c>
      <c r="G18" s="12">
        <v>45.21</v>
      </c>
      <c r="H18" s="12" t="s">
        <v>1293</v>
      </c>
      <c r="I18" s="1"/>
      <c r="J18" s="1"/>
      <c r="K18" s="1"/>
    </row>
    <row r="19" spans="1:11" x14ac:dyDescent="0.3">
      <c r="B19" s="12" t="s">
        <v>14</v>
      </c>
      <c r="C19" s="12">
        <v>46.89</v>
      </c>
      <c r="D19" s="12">
        <v>0.5</v>
      </c>
      <c r="E19" s="12">
        <v>46.89</v>
      </c>
      <c r="F19" s="12" t="s">
        <v>5</v>
      </c>
      <c r="G19" s="12">
        <v>46.89</v>
      </c>
      <c r="H19" s="12" t="s">
        <v>1293</v>
      </c>
    </row>
    <row r="20" spans="1:11" x14ac:dyDescent="0.3">
      <c r="B20" s="12" t="s">
        <v>15</v>
      </c>
      <c r="C20" s="12">
        <v>47.7</v>
      </c>
      <c r="D20" s="12">
        <v>0.6</v>
      </c>
      <c r="E20" s="12">
        <v>47.7</v>
      </c>
      <c r="F20" s="12" t="s">
        <v>5</v>
      </c>
      <c r="G20" s="12">
        <v>46.9</v>
      </c>
      <c r="H20" s="12" t="s">
        <v>1194</v>
      </c>
    </row>
    <row r="21" spans="1:11" x14ac:dyDescent="0.3">
      <c r="B21" s="12" t="s">
        <v>16</v>
      </c>
      <c r="C21" s="12">
        <v>46.7</v>
      </c>
      <c r="D21" s="12">
        <v>0.3</v>
      </c>
      <c r="E21" s="12">
        <v>46.7</v>
      </c>
      <c r="F21" s="12" t="s">
        <v>5</v>
      </c>
      <c r="G21" s="12">
        <v>46.7</v>
      </c>
      <c r="H21" s="12" t="s">
        <v>1293</v>
      </c>
    </row>
    <row r="22" spans="1:11" x14ac:dyDescent="0.3">
      <c r="B22" s="12" t="s">
        <v>17</v>
      </c>
      <c r="C22" s="12">
        <v>46.9</v>
      </c>
      <c r="D22" s="12">
        <v>0.3</v>
      </c>
      <c r="E22" s="12">
        <v>46.9</v>
      </c>
      <c r="F22" s="12" t="s">
        <v>5</v>
      </c>
      <c r="G22" s="12">
        <v>46.9</v>
      </c>
      <c r="H22" s="12" t="s">
        <v>1287</v>
      </c>
    </row>
    <row r="23" spans="1:11" x14ac:dyDescent="0.3">
      <c r="B23" s="12" t="s">
        <v>18</v>
      </c>
      <c r="C23" s="12">
        <v>47.7</v>
      </c>
      <c r="D23" s="12">
        <v>0.2</v>
      </c>
      <c r="E23" s="12">
        <v>47.7</v>
      </c>
      <c r="F23" s="12" t="s">
        <v>5</v>
      </c>
      <c r="G23" s="12">
        <v>46.9</v>
      </c>
      <c r="H23" s="12" t="s">
        <v>1195</v>
      </c>
    </row>
    <row r="24" spans="1:11" x14ac:dyDescent="0.3">
      <c r="B24" s="12" t="s">
        <v>19</v>
      </c>
      <c r="C24" s="12">
        <v>50.94</v>
      </c>
      <c r="D24" s="12">
        <v>0.5</v>
      </c>
      <c r="E24" s="12">
        <v>50.94</v>
      </c>
      <c r="F24" s="12" t="s">
        <v>5</v>
      </c>
      <c r="G24" s="12">
        <v>50.64</v>
      </c>
      <c r="H24" s="12" t="s">
        <v>1194</v>
      </c>
    </row>
    <row r="25" spans="1:11" x14ac:dyDescent="0.3">
      <c r="B25" s="12" t="s">
        <v>20</v>
      </c>
      <c r="C25" s="12">
        <v>56.75</v>
      </c>
      <c r="D25" s="12">
        <v>0.4</v>
      </c>
      <c r="E25" s="12">
        <v>56.75</v>
      </c>
      <c r="F25" s="12" t="s">
        <v>5</v>
      </c>
      <c r="G25" s="12">
        <v>56.75</v>
      </c>
      <c r="H25" s="12" t="s">
        <v>1293</v>
      </c>
    </row>
    <row r="26" spans="1:11" x14ac:dyDescent="0.3">
      <c r="B26" s="12" t="s">
        <v>21</v>
      </c>
      <c r="C26" s="12">
        <v>57</v>
      </c>
      <c r="D26" s="12">
        <v>0.4</v>
      </c>
      <c r="E26" s="12">
        <v>57</v>
      </c>
      <c r="F26" s="12" t="s">
        <v>5</v>
      </c>
      <c r="G26" s="12">
        <v>56.75</v>
      </c>
      <c r="H26" s="12" t="s">
        <v>1194</v>
      </c>
    </row>
    <row r="27" spans="1:11" x14ac:dyDescent="0.3">
      <c r="B27" s="12" t="s">
        <v>22</v>
      </c>
      <c r="C27" s="12">
        <v>58.15</v>
      </c>
      <c r="D27" s="12">
        <v>0.4</v>
      </c>
      <c r="E27" s="12">
        <v>58.15</v>
      </c>
      <c r="F27" s="12" t="s">
        <v>5</v>
      </c>
      <c r="G27" s="12">
        <v>57.77</v>
      </c>
      <c r="H27" s="12" t="s">
        <v>1194</v>
      </c>
    </row>
    <row r="28" spans="1:11" x14ac:dyDescent="0.3">
      <c r="B28" s="12" t="s">
        <v>23</v>
      </c>
      <c r="C28" s="12">
        <v>57.5</v>
      </c>
      <c r="D28" s="12">
        <v>0.4</v>
      </c>
      <c r="E28" s="12">
        <v>57.5</v>
      </c>
      <c r="F28" s="12" t="s">
        <v>5</v>
      </c>
      <c r="G28" s="12">
        <v>57.47</v>
      </c>
      <c r="H28" s="12" t="s">
        <v>1293</v>
      </c>
    </row>
    <row r="29" spans="1:11" x14ac:dyDescent="0.3">
      <c r="B29" s="12" t="s">
        <v>24</v>
      </c>
      <c r="C29" s="12">
        <v>56.5</v>
      </c>
      <c r="D29" s="12">
        <v>0.4</v>
      </c>
      <c r="E29" s="12">
        <v>56.5</v>
      </c>
      <c r="F29" s="12" t="s">
        <v>5</v>
      </c>
      <c r="G29" s="12">
        <v>56.5</v>
      </c>
      <c r="H29" s="12" t="s">
        <v>1293</v>
      </c>
    </row>
    <row r="30" spans="1:11" x14ac:dyDescent="0.3">
      <c r="B30" s="12" t="s">
        <v>25</v>
      </c>
      <c r="C30" s="12">
        <v>64.5</v>
      </c>
      <c r="D30" s="12">
        <v>0.4</v>
      </c>
      <c r="E30" s="12">
        <v>64.5</v>
      </c>
      <c r="F30" s="12" t="s">
        <v>5</v>
      </c>
      <c r="G30" s="12">
        <v>64.5</v>
      </c>
      <c r="H30" s="12" t="s">
        <v>1293</v>
      </c>
    </row>
    <row r="31" spans="1:11" x14ac:dyDescent="0.3">
      <c r="B31" s="12" t="s">
        <v>26</v>
      </c>
      <c r="C31" s="12">
        <v>66.900000000000006</v>
      </c>
      <c r="D31" s="12">
        <v>0.4</v>
      </c>
      <c r="E31" s="12">
        <v>66.900000000000006</v>
      </c>
      <c r="F31" s="12" t="s">
        <v>5</v>
      </c>
      <c r="G31" s="12">
        <v>66.900000000000006</v>
      </c>
      <c r="H31" s="12" t="s">
        <v>1287</v>
      </c>
    </row>
    <row r="32" spans="1:11" x14ac:dyDescent="0.3">
      <c r="B32" s="12" t="s">
        <v>27</v>
      </c>
      <c r="C32" s="12">
        <v>67.900000000000006</v>
      </c>
      <c r="D32" s="12">
        <v>0.2</v>
      </c>
      <c r="E32" s="12">
        <v>67.900000000000006</v>
      </c>
      <c r="F32" s="12" t="s">
        <v>5</v>
      </c>
      <c r="G32" s="12">
        <v>66.900000000000006</v>
      </c>
      <c r="H32" s="12" t="s">
        <v>1195</v>
      </c>
    </row>
    <row r="33" spans="2:8" x14ac:dyDescent="0.3">
      <c r="B33" s="12" t="s">
        <v>28</v>
      </c>
      <c r="C33" s="12">
        <v>67.900000000000006</v>
      </c>
      <c r="D33" s="12">
        <v>0.6</v>
      </c>
      <c r="E33" s="12">
        <v>67.900000000000006</v>
      </c>
      <c r="F33" s="12" t="s">
        <v>5</v>
      </c>
      <c r="G33" s="12">
        <v>66.900000000000006</v>
      </c>
      <c r="H33" s="12" t="s">
        <v>1194</v>
      </c>
    </row>
    <row r="34" spans="2:8" x14ac:dyDescent="0.3">
      <c r="B34" s="12" t="s">
        <v>29</v>
      </c>
      <c r="C34" s="12">
        <v>82.9</v>
      </c>
      <c r="D34" s="12">
        <v>0.4</v>
      </c>
      <c r="E34" s="12">
        <v>82.9</v>
      </c>
      <c r="F34" s="12" t="s">
        <v>5</v>
      </c>
      <c r="G34" s="12">
        <v>82.9</v>
      </c>
      <c r="H34" s="12" t="s">
        <v>1293</v>
      </c>
    </row>
    <row r="35" spans="2:8" x14ac:dyDescent="0.3">
      <c r="B35" s="12" t="s">
        <v>30</v>
      </c>
      <c r="C35" s="12">
        <v>89.93</v>
      </c>
      <c r="D35" s="12">
        <v>0.25</v>
      </c>
      <c r="E35" s="12">
        <v>89.93</v>
      </c>
      <c r="F35" s="12" t="s">
        <v>5</v>
      </c>
      <c r="G35" s="12">
        <v>86.11</v>
      </c>
      <c r="H35" s="12" t="s">
        <v>1195</v>
      </c>
    </row>
    <row r="36" spans="2:8" x14ac:dyDescent="0.3">
      <c r="B36" s="12" t="s">
        <v>31</v>
      </c>
      <c r="C36" s="12">
        <v>89.88</v>
      </c>
      <c r="D36" s="12">
        <v>0.25</v>
      </c>
      <c r="E36" s="12">
        <v>89.88</v>
      </c>
      <c r="F36" s="12" t="s">
        <v>5</v>
      </c>
      <c r="G36" s="12">
        <v>87.38</v>
      </c>
      <c r="H36" s="12" t="s">
        <v>1195</v>
      </c>
    </row>
    <row r="37" spans="2:8" x14ac:dyDescent="0.3">
      <c r="B37" s="12" t="s">
        <v>32</v>
      </c>
      <c r="C37" s="12">
        <v>80.86</v>
      </c>
      <c r="D37" s="12">
        <v>0.4</v>
      </c>
      <c r="E37" s="12">
        <v>80.86</v>
      </c>
      <c r="F37" s="12" t="s">
        <v>5</v>
      </c>
      <c r="G37" s="12">
        <v>80.760000000000005</v>
      </c>
      <c r="H37" s="12" t="s">
        <v>1293</v>
      </c>
    </row>
    <row r="38" spans="2:8" x14ac:dyDescent="0.3">
      <c r="B38" s="12" t="s">
        <v>33</v>
      </c>
      <c r="C38" s="12">
        <v>74.900000000000006</v>
      </c>
      <c r="D38" s="12">
        <v>0.2</v>
      </c>
      <c r="E38" s="12">
        <v>74.900000000000006</v>
      </c>
      <c r="F38" s="12" t="s">
        <v>5</v>
      </c>
      <c r="G38" s="12">
        <v>74.8</v>
      </c>
      <c r="H38" s="12" t="s">
        <v>1293</v>
      </c>
    </row>
    <row r="39" spans="2:8" x14ac:dyDescent="0.3">
      <c r="B39" s="12" t="s">
        <v>34</v>
      </c>
      <c r="C39" s="12">
        <v>77.099999999999994</v>
      </c>
      <c r="D39" s="12">
        <v>0.2</v>
      </c>
      <c r="E39" s="12">
        <v>77.099999999999994</v>
      </c>
      <c r="F39" s="12" t="s">
        <v>5</v>
      </c>
      <c r="G39" s="12">
        <v>76.91</v>
      </c>
      <c r="H39" s="12" t="s">
        <v>1293</v>
      </c>
    </row>
    <row r="40" spans="2:8" x14ac:dyDescent="0.3">
      <c r="B40" s="12" t="s">
        <v>36</v>
      </c>
      <c r="C40" s="12">
        <v>59.12</v>
      </c>
      <c r="D40" s="12">
        <v>0.5</v>
      </c>
      <c r="E40" s="12">
        <v>59.12</v>
      </c>
      <c r="F40" s="12" t="s">
        <v>5</v>
      </c>
      <c r="G40" s="12">
        <v>59.07</v>
      </c>
      <c r="H40" s="12" t="s">
        <v>1293</v>
      </c>
    </row>
    <row r="41" spans="2:8" x14ac:dyDescent="0.3">
      <c r="B41" s="12" t="s">
        <v>38</v>
      </c>
      <c r="C41" s="12">
        <v>58.01</v>
      </c>
      <c r="D41" s="12">
        <v>0.5</v>
      </c>
      <c r="E41" s="12">
        <v>58.01</v>
      </c>
      <c r="F41" s="12" t="s">
        <v>5</v>
      </c>
      <c r="G41" s="12">
        <v>57.91</v>
      </c>
      <c r="H41" s="12" t="s">
        <v>1293</v>
      </c>
    </row>
    <row r="42" spans="2:8" x14ac:dyDescent="0.3">
      <c r="B42" s="12" t="s">
        <v>40</v>
      </c>
      <c r="C42" s="14">
        <v>50.51</v>
      </c>
      <c r="D42" s="14">
        <v>0.4</v>
      </c>
      <c r="E42" s="14">
        <v>50.51</v>
      </c>
      <c r="F42" s="12" t="s">
        <v>5</v>
      </c>
      <c r="G42" s="12">
        <v>50.51</v>
      </c>
      <c r="H42" s="12" t="s">
        <v>1293</v>
      </c>
    </row>
    <row r="43" spans="2:8" x14ac:dyDescent="0.3">
      <c r="B43" s="12" t="s">
        <v>41</v>
      </c>
      <c r="C43" s="12">
        <v>51.54</v>
      </c>
      <c r="D43" s="12">
        <v>0.4</v>
      </c>
      <c r="E43" s="12">
        <v>51.54</v>
      </c>
      <c r="F43" s="12" t="s">
        <v>5</v>
      </c>
      <c r="G43" s="12">
        <v>51.52</v>
      </c>
      <c r="H43" s="12" t="s">
        <v>1293</v>
      </c>
    </row>
    <row r="44" spans="2:8" x14ac:dyDescent="0.3">
      <c r="B44" s="12" t="s">
        <v>42</v>
      </c>
      <c r="C44" s="12">
        <v>51.6</v>
      </c>
      <c r="D44" s="12">
        <v>0.4</v>
      </c>
      <c r="E44" s="12">
        <v>51.6</v>
      </c>
      <c r="F44" s="12" t="s">
        <v>5</v>
      </c>
      <c r="G44" s="12">
        <v>51.6</v>
      </c>
      <c r="H44" s="12" t="s">
        <v>1287</v>
      </c>
    </row>
    <row r="45" spans="2:8" x14ac:dyDescent="0.3">
      <c r="B45" s="12" t="s">
        <v>43</v>
      </c>
      <c r="C45" s="12">
        <v>52.5</v>
      </c>
      <c r="D45" s="12">
        <v>0.2</v>
      </c>
      <c r="E45" s="12">
        <v>52.5</v>
      </c>
      <c r="F45" s="12" t="s">
        <v>5</v>
      </c>
      <c r="G45" s="12">
        <v>51.6</v>
      </c>
      <c r="H45" s="12" t="s">
        <v>1195</v>
      </c>
    </row>
    <row r="46" spans="2:8" x14ac:dyDescent="0.3">
      <c r="B46" s="12" t="s">
        <v>44</v>
      </c>
      <c r="C46" s="12">
        <v>52.5</v>
      </c>
      <c r="D46" s="12">
        <v>1</v>
      </c>
      <c r="E46" s="12">
        <v>52.5</v>
      </c>
      <c r="F46" s="12" t="s">
        <v>5</v>
      </c>
      <c r="G46" s="12">
        <v>51.6</v>
      </c>
      <c r="H46" s="12" t="s">
        <v>1194</v>
      </c>
    </row>
    <row r="47" spans="2:8" x14ac:dyDescent="0.3">
      <c r="B47" s="12" t="s">
        <v>45</v>
      </c>
      <c r="C47" s="12">
        <v>47.45</v>
      </c>
      <c r="D47" s="12">
        <v>0.5</v>
      </c>
      <c r="E47" s="12">
        <v>47.45</v>
      </c>
      <c r="F47" s="12" t="s">
        <v>5</v>
      </c>
      <c r="G47" s="12">
        <v>47.45</v>
      </c>
      <c r="H47" s="12" t="s">
        <v>1293</v>
      </c>
    </row>
    <row r="48" spans="2:8" x14ac:dyDescent="0.3">
      <c r="B48" s="12" t="s">
        <v>46</v>
      </c>
      <c r="C48" s="12">
        <v>46.7</v>
      </c>
      <c r="D48" s="12">
        <v>0.4</v>
      </c>
      <c r="E48" s="12">
        <v>46.7</v>
      </c>
      <c r="F48" s="12" t="s">
        <v>5</v>
      </c>
      <c r="G48" s="12">
        <v>46.7</v>
      </c>
      <c r="H48" s="12" t="s">
        <v>1293</v>
      </c>
    </row>
    <row r="49" spans="2:8" x14ac:dyDescent="0.3">
      <c r="B49" s="12" t="s">
        <v>47</v>
      </c>
      <c r="C49" s="12">
        <v>51.77</v>
      </c>
      <c r="D49" s="12">
        <v>0.4</v>
      </c>
      <c r="E49" s="12">
        <v>51.77</v>
      </c>
      <c r="F49" s="12" t="s">
        <v>5</v>
      </c>
      <c r="G49" s="12">
        <v>51.57</v>
      </c>
      <c r="H49" s="12" t="s">
        <v>1194</v>
      </c>
    </row>
    <row r="50" spans="2:8" x14ac:dyDescent="0.3">
      <c r="B50" s="12" t="s">
        <v>48</v>
      </c>
      <c r="C50" s="12">
        <v>51.97</v>
      </c>
      <c r="D50" s="12">
        <v>0.5</v>
      </c>
      <c r="E50" s="12">
        <v>51.97</v>
      </c>
      <c r="F50" s="12" t="s">
        <v>5</v>
      </c>
      <c r="G50" s="12">
        <v>51.54</v>
      </c>
      <c r="H50" s="12" t="s">
        <v>1194</v>
      </c>
    </row>
    <row r="51" spans="2:8" x14ac:dyDescent="0.3">
      <c r="B51" s="12" t="s">
        <v>50</v>
      </c>
      <c r="C51" s="12">
        <v>82.73</v>
      </c>
      <c r="D51" s="12">
        <v>0.4</v>
      </c>
      <c r="E51" s="12">
        <v>82.73</v>
      </c>
      <c r="F51" s="12" t="s">
        <v>5</v>
      </c>
      <c r="G51" s="12">
        <v>82.73</v>
      </c>
      <c r="H51" s="12" t="s">
        <v>1293</v>
      </c>
    </row>
    <row r="52" spans="2:8" x14ac:dyDescent="0.3">
      <c r="B52" s="12" t="s">
        <v>52</v>
      </c>
      <c r="C52" s="12">
        <v>82.8</v>
      </c>
      <c r="D52" s="12">
        <v>0.4</v>
      </c>
      <c r="E52" s="12">
        <v>82.8</v>
      </c>
      <c r="F52" s="12" t="s">
        <v>5</v>
      </c>
      <c r="G52" s="12">
        <v>82.8</v>
      </c>
      <c r="H52" s="12" t="s">
        <v>1293</v>
      </c>
    </row>
    <row r="53" spans="2:8" x14ac:dyDescent="0.3">
      <c r="B53" s="12" t="s">
        <v>53</v>
      </c>
      <c r="C53" s="12">
        <v>80.56</v>
      </c>
      <c r="D53" s="12">
        <v>0.4</v>
      </c>
      <c r="E53" s="12">
        <v>80.56</v>
      </c>
      <c r="F53" s="12" t="s">
        <v>5</v>
      </c>
      <c r="G53" s="12">
        <v>80.53</v>
      </c>
      <c r="H53" s="12" t="s">
        <v>1293</v>
      </c>
    </row>
    <row r="54" spans="2:8" x14ac:dyDescent="0.3">
      <c r="B54" s="12" t="s">
        <v>54</v>
      </c>
      <c r="C54" s="12">
        <v>80.540000000000006</v>
      </c>
      <c r="D54" s="12">
        <v>0.4</v>
      </c>
      <c r="E54" s="12">
        <v>80.540000000000006</v>
      </c>
      <c r="F54" s="12" t="s">
        <v>5</v>
      </c>
      <c r="G54" s="12">
        <v>80.45</v>
      </c>
      <c r="H54" s="12" t="s">
        <v>1293</v>
      </c>
    </row>
    <row r="55" spans="2:8" x14ac:dyDescent="0.3">
      <c r="B55" s="12" t="s">
        <v>56</v>
      </c>
      <c r="C55" s="12">
        <v>78.900000000000006</v>
      </c>
      <c r="D55" s="12">
        <v>0.4</v>
      </c>
      <c r="E55" s="12">
        <v>78.900000000000006</v>
      </c>
      <c r="F55" s="12" t="s">
        <v>5</v>
      </c>
      <c r="G55" s="12">
        <v>78.88</v>
      </c>
      <c r="H55" s="12" t="s">
        <v>1293</v>
      </c>
    </row>
    <row r="56" spans="2:8" x14ac:dyDescent="0.3">
      <c r="B56" s="12" t="s">
        <v>58</v>
      </c>
      <c r="C56" s="12">
        <v>78.38</v>
      </c>
      <c r="D56" s="12">
        <v>0.5</v>
      </c>
      <c r="E56" s="12">
        <v>78.38</v>
      </c>
      <c r="F56" s="12" t="s">
        <v>5</v>
      </c>
      <c r="G56" s="12">
        <v>78.38</v>
      </c>
      <c r="H56" s="12" t="s">
        <v>1293</v>
      </c>
    </row>
    <row r="57" spans="2:8" x14ac:dyDescent="0.3">
      <c r="B57" s="12" t="s">
        <v>59</v>
      </c>
      <c r="C57" s="12">
        <v>84.26</v>
      </c>
      <c r="D57" s="12">
        <v>0.2</v>
      </c>
      <c r="E57" s="12">
        <v>84.26</v>
      </c>
      <c r="F57" s="12" t="s">
        <v>5</v>
      </c>
      <c r="G57" s="12">
        <v>82.09</v>
      </c>
      <c r="H57" s="12" t="s">
        <v>1195</v>
      </c>
    </row>
    <row r="58" spans="2:8" x14ac:dyDescent="0.3">
      <c r="B58" s="12" t="s">
        <v>60</v>
      </c>
      <c r="C58" s="14">
        <v>84.5</v>
      </c>
      <c r="D58" s="14">
        <v>0.2</v>
      </c>
      <c r="E58" s="14">
        <v>84.5</v>
      </c>
      <c r="F58" s="12" t="s">
        <v>5</v>
      </c>
      <c r="G58" s="12">
        <v>82.06</v>
      </c>
      <c r="H58" s="12" t="s">
        <v>1195</v>
      </c>
    </row>
    <row r="59" spans="2:8" x14ac:dyDescent="0.3">
      <c r="B59" s="12" t="s">
        <v>61</v>
      </c>
      <c r="C59" s="12">
        <v>40.270000000000003</v>
      </c>
      <c r="D59" s="12">
        <v>0.5</v>
      </c>
      <c r="E59" s="12">
        <v>40.270000000000003</v>
      </c>
      <c r="F59" s="12" t="s">
        <v>5</v>
      </c>
      <c r="G59" s="12">
        <v>40.270000000000003</v>
      </c>
      <c r="H59" s="12" t="s">
        <v>1293</v>
      </c>
    </row>
    <row r="60" spans="2:8" x14ac:dyDescent="0.3">
      <c r="B60" s="12" t="s">
        <v>62</v>
      </c>
      <c r="C60" s="12">
        <v>39.79</v>
      </c>
      <c r="D60" s="12">
        <v>0.5</v>
      </c>
      <c r="E60" s="12">
        <v>39.79</v>
      </c>
      <c r="F60" s="12" t="s">
        <v>5</v>
      </c>
      <c r="G60" s="12">
        <v>39.79</v>
      </c>
      <c r="H60" s="12" t="s">
        <v>1293</v>
      </c>
    </row>
    <row r="61" spans="2:8" x14ac:dyDescent="0.3">
      <c r="B61" s="12" t="s">
        <v>63</v>
      </c>
      <c r="C61" s="12">
        <v>44.35</v>
      </c>
      <c r="D61" s="12">
        <v>0.25</v>
      </c>
      <c r="E61" s="12">
        <v>44.35</v>
      </c>
      <c r="F61" s="12" t="s">
        <v>5</v>
      </c>
      <c r="G61" s="12">
        <v>40.14</v>
      </c>
      <c r="H61" s="12" t="s">
        <v>1195</v>
      </c>
    </row>
    <row r="62" spans="2:8" x14ac:dyDescent="0.3">
      <c r="B62" s="12" t="s">
        <v>64</v>
      </c>
      <c r="C62" s="14">
        <v>40.020000000000003</v>
      </c>
      <c r="D62" s="14">
        <v>0.4</v>
      </c>
      <c r="E62" s="14">
        <v>40.020000000000003</v>
      </c>
      <c r="F62" s="12" t="s">
        <v>5</v>
      </c>
      <c r="G62" s="12">
        <v>40.020000000000003</v>
      </c>
      <c r="H62" s="12" t="s">
        <v>1293</v>
      </c>
    </row>
    <row r="63" spans="2:8" x14ac:dyDescent="0.3">
      <c r="B63" s="12" t="s">
        <v>65</v>
      </c>
      <c r="C63" s="12">
        <v>44.25</v>
      </c>
      <c r="D63" s="12">
        <v>0.6</v>
      </c>
      <c r="E63" s="12">
        <v>44.25</v>
      </c>
      <c r="F63" s="12" t="s">
        <v>5</v>
      </c>
      <c r="G63" s="12">
        <v>43.25</v>
      </c>
      <c r="H63" s="12" t="s">
        <v>1194</v>
      </c>
    </row>
    <row r="64" spans="2:8" x14ac:dyDescent="0.3">
      <c r="B64" s="12" t="s">
        <v>66</v>
      </c>
      <c r="C64" s="12">
        <v>82.3</v>
      </c>
      <c r="D64" s="12">
        <v>0.6</v>
      </c>
      <c r="E64" s="12">
        <v>82.3</v>
      </c>
      <c r="F64" s="12" t="s">
        <v>5</v>
      </c>
      <c r="G64" s="12">
        <v>82</v>
      </c>
      <c r="H64" s="12" t="s">
        <v>1194</v>
      </c>
    </row>
    <row r="65" spans="2:8" x14ac:dyDescent="0.3">
      <c r="B65" s="12" t="s">
        <v>67</v>
      </c>
      <c r="C65" s="12">
        <v>82.3</v>
      </c>
      <c r="D65" s="12">
        <v>0.4</v>
      </c>
      <c r="E65" s="12">
        <v>82.3</v>
      </c>
      <c r="F65" s="12" t="s">
        <v>5</v>
      </c>
      <c r="G65" s="12">
        <v>82</v>
      </c>
      <c r="H65" s="12" t="s">
        <v>1194</v>
      </c>
    </row>
    <row r="66" spans="2:8" x14ac:dyDescent="0.3">
      <c r="B66" s="12" t="s">
        <v>69</v>
      </c>
      <c r="C66" s="12">
        <v>82.82</v>
      </c>
      <c r="D66" s="12">
        <v>0.4</v>
      </c>
      <c r="E66" s="12">
        <v>82.82</v>
      </c>
      <c r="F66" s="12" t="s">
        <v>5</v>
      </c>
      <c r="G66" s="12">
        <v>82.82</v>
      </c>
      <c r="H66" s="12" t="s">
        <v>1293</v>
      </c>
    </row>
    <row r="67" spans="2:8" x14ac:dyDescent="0.3">
      <c r="B67" s="12" t="s">
        <v>70</v>
      </c>
      <c r="C67" s="12">
        <v>81.8</v>
      </c>
      <c r="D67" s="12">
        <v>0.4</v>
      </c>
      <c r="E67" s="12">
        <v>81.8</v>
      </c>
      <c r="F67" s="12" t="s">
        <v>5</v>
      </c>
      <c r="G67" s="12">
        <v>81.2</v>
      </c>
      <c r="H67" s="12" t="s">
        <v>1194</v>
      </c>
    </row>
    <row r="68" spans="2:8" x14ac:dyDescent="0.3">
      <c r="B68" s="12" t="s">
        <v>71</v>
      </c>
      <c r="C68" s="12">
        <v>82</v>
      </c>
      <c r="D68" s="12">
        <v>0.4</v>
      </c>
      <c r="E68" s="12">
        <v>82</v>
      </c>
      <c r="F68" s="12" t="s">
        <v>5</v>
      </c>
      <c r="G68" s="12">
        <v>82</v>
      </c>
      <c r="H68" s="12" t="s">
        <v>1287</v>
      </c>
    </row>
    <row r="69" spans="2:8" x14ac:dyDescent="0.3">
      <c r="B69" s="12" t="s">
        <v>73</v>
      </c>
      <c r="C69" s="12">
        <v>81.3</v>
      </c>
      <c r="D69" s="12">
        <v>0.3</v>
      </c>
      <c r="E69" s="12">
        <v>81.3</v>
      </c>
      <c r="F69" s="12" t="s">
        <v>5</v>
      </c>
      <c r="G69" s="12">
        <v>81.2</v>
      </c>
      <c r="H69" s="12" t="s">
        <v>1293</v>
      </c>
    </row>
    <row r="70" spans="2:8" x14ac:dyDescent="0.3">
      <c r="B70" s="12" t="s">
        <v>74</v>
      </c>
      <c r="C70" s="12">
        <v>56.4</v>
      </c>
      <c r="D70" s="12">
        <v>0.4</v>
      </c>
      <c r="E70" s="12">
        <v>56.4</v>
      </c>
      <c r="F70" s="12" t="s">
        <v>5</v>
      </c>
      <c r="G70" s="12">
        <v>56.35</v>
      </c>
      <c r="H70" s="12" t="s">
        <v>1293</v>
      </c>
    </row>
    <row r="71" spans="2:8" x14ac:dyDescent="0.3">
      <c r="B71" s="12" t="s">
        <v>75</v>
      </c>
      <c r="C71" s="12">
        <v>44.54</v>
      </c>
      <c r="D71" s="12">
        <v>0.4</v>
      </c>
      <c r="E71" s="12">
        <v>44.54</v>
      </c>
      <c r="F71" s="12" t="s">
        <v>5</v>
      </c>
      <c r="G71" s="12">
        <v>44.54</v>
      </c>
      <c r="H71" s="12" t="s">
        <v>1293</v>
      </c>
    </row>
    <row r="72" spans="2:8" x14ac:dyDescent="0.3">
      <c r="B72" s="12" t="s">
        <v>77</v>
      </c>
      <c r="C72" s="12">
        <v>84.86</v>
      </c>
      <c r="D72" s="12">
        <v>0.3</v>
      </c>
      <c r="E72" s="12">
        <v>84.86</v>
      </c>
      <c r="F72" s="12" t="s">
        <v>5</v>
      </c>
      <c r="G72" s="12">
        <v>84.68</v>
      </c>
      <c r="H72" s="12" t="s">
        <v>1293</v>
      </c>
    </row>
    <row r="73" spans="2:8" x14ac:dyDescent="0.3">
      <c r="B73" s="12" t="s">
        <v>78</v>
      </c>
      <c r="C73" s="12">
        <v>52.73</v>
      </c>
      <c r="D73" s="12">
        <v>0.4</v>
      </c>
      <c r="E73" s="12">
        <v>52.73</v>
      </c>
      <c r="F73" s="12" t="s">
        <v>5</v>
      </c>
      <c r="G73" s="12">
        <v>52.73</v>
      </c>
      <c r="H73" s="12" t="s">
        <v>1293</v>
      </c>
    </row>
    <row r="74" spans="2:8" x14ac:dyDescent="0.3">
      <c r="B74" s="12" t="s">
        <v>80</v>
      </c>
      <c r="C74" s="12">
        <v>48.67</v>
      </c>
      <c r="D74" s="12">
        <v>0.4</v>
      </c>
      <c r="E74" s="12">
        <v>48.67</v>
      </c>
      <c r="F74" s="12" t="s">
        <v>5</v>
      </c>
      <c r="G74" s="12">
        <v>48.57</v>
      </c>
      <c r="H74" s="12" t="s">
        <v>1293</v>
      </c>
    </row>
    <row r="75" spans="2:8" x14ac:dyDescent="0.3">
      <c r="B75" s="12" t="s">
        <v>81</v>
      </c>
      <c r="C75" s="12">
        <v>40.15</v>
      </c>
      <c r="D75" s="12">
        <v>0.4</v>
      </c>
      <c r="E75" s="12">
        <v>40.15</v>
      </c>
      <c r="F75" s="12" t="s">
        <v>5</v>
      </c>
      <c r="G75" s="12">
        <v>40.15</v>
      </c>
      <c r="H75" s="12" t="s">
        <v>1293</v>
      </c>
    </row>
    <row r="76" spans="2:8" x14ac:dyDescent="0.3">
      <c r="B76" s="12" t="s">
        <v>83</v>
      </c>
      <c r="C76" s="12">
        <v>59.4</v>
      </c>
      <c r="D76" s="12">
        <v>0.2</v>
      </c>
      <c r="E76" s="12">
        <v>59.4</v>
      </c>
      <c r="F76" s="12" t="s">
        <v>5</v>
      </c>
      <c r="G76" s="12">
        <v>58.93</v>
      </c>
      <c r="H76" s="12" t="s">
        <v>1195</v>
      </c>
    </row>
    <row r="77" spans="2:8" x14ac:dyDescent="0.3">
      <c r="B77" s="12" t="s">
        <v>84</v>
      </c>
      <c r="C77" s="12">
        <v>59.1</v>
      </c>
      <c r="D77" s="12">
        <v>0.4</v>
      </c>
      <c r="E77" s="12">
        <v>59.1</v>
      </c>
      <c r="F77" s="12" t="s">
        <v>5</v>
      </c>
      <c r="G77" s="12">
        <v>58.64</v>
      </c>
      <c r="H77" s="12" t="s">
        <v>1194</v>
      </c>
    </row>
    <row r="78" spans="2:8" x14ac:dyDescent="0.3">
      <c r="B78" s="12" t="s">
        <v>85</v>
      </c>
      <c r="C78" s="4">
        <v>49.27</v>
      </c>
      <c r="D78" s="12">
        <v>0.25</v>
      </c>
      <c r="E78" s="4">
        <v>49.27</v>
      </c>
      <c r="F78" s="12" t="s">
        <v>5</v>
      </c>
      <c r="G78" s="12">
        <v>40.24</v>
      </c>
      <c r="H78" s="12" t="s">
        <v>1195</v>
      </c>
    </row>
    <row r="79" spans="2:8" x14ac:dyDescent="0.3">
      <c r="B79" s="12" t="s">
        <v>86</v>
      </c>
      <c r="C79" s="4">
        <v>50.82</v>
      </c>
      <c r="D79" s="12">
        <v>0.25</v>
      </c>
      <c r="E79" s="4">
        <v>50.82</v>
      </c>
      <c r="F79" s="12" t="s">
        <v>5</v>
      </c>
      <c r="G79" s="12">
        <v>40.119999999999997</v>
      </c>
      <c r="H79" s="12" t="s">
        <v>1195</v>
      </c>
    </row>
    <row r="80" spans="2:8" x14ac:dyDescent="0.3">
      <c r="B80" s="12" t="s">
        <v>87</v>
      </c>
      <c r="C80" s="4">
        <v>49.49</v>
      </c>
      <c r="D80" s="12">
        <v>0.25</v>
      </c>
      <c r="E80" s="4">
        <v>49.49</v>
      </c>
      <c r="F80" s="12" t="s">
        <v>5</v>
      </c>
      <c r="G80" s="12">
        <v>40.270000000000003</v>
      </c>
      <c r="H80" s="12" t="s">
        <v>1195</v>
      </c>
    </row>
    <row r="81" spans="2:8" x14ac:dyDescent="0.3">
      <c r="B81" s="12" t="s">
        <v>88</v>
      </c>
      <c r="C81" s="4">
        <v>48.18</v>
      </c>
      <c r="D81" s="12">
        <v>0.25</v>
      </c>
      <c r="E81" s="4">
        <v>48.18</v>
      </c>
      <c r="F81" s="12" t="s">
        <v>5</v>
      </c>
      <c r="G81" s="12">
        <v>40.43</v>
      </c>
      <c r="H81" s="12" t="s">
        <v>1195</v>
      </c>
    </row>
    <row r="82" spans="2:8" x14ac:dyDescent="0.3">
      <c r="B82" s="12" t="s">
        <v>89</v>
      </c>
      <c r="C82" s="4">
        <v>46.04</v>
      </c>
      <c r="D82" s="12">
        <v>0.25</v>
      </c>
      <c r="E82" s="4">
        <v>46.04</v>
      </c>
      <c r="F82" s="12" t="s">
        <v>5</v>
      </c>
      <c r="G82" s="12">
        <v>40.869999999999997</v>
      </c>
      <c r="H82" s="12" t="s">
        <v>1195</v>
      </c>
    </row>
    <row r="83" spans="2:8" x14ac:dyDescent="0.3">
      <c r="B83" s="12" t="s">
        <v>90</v>
      </c>
      <c r="C83" s="4">
        <v>45.34</v>
      </c>
      <c r="D83" s="12">
        <v>0.25</v>
      </c>
      <c r="E83" s="4">
        <v>45.34</v>
      </c>
      <c r="F83" s="12" t="s">
        <v>5</v>
      </c>
      <c r="G83" s="12">
        <v>40.81</v>
      </c>
      <c r="H83" s="12" t="s">
        <v>1195</v>
      </c>
    </row>
    <row r="84" spans="2:8" x14ac:dyDescent="0.3">
      <c r="B84" s="12" t="s">
        <v>91</v>
      </c>
      <c r="C84" s="4">
        <v>44.79</v>
      </c>
      <c r="D84" s="12">
        <v>0.25</v>
      </c>
      <c r="E84" s="4">
        <v>44.79</v>
      </c>
      <c r="F84" s="12" t="s">
        <v>5</v>
      </c>
      <c r="G84" s="12">
        <v>40.75</v>
      </c>
      <c r="H84" s="12" t="s">
        <v>1195</v>
      </c>
    </row>
    <row r="85" spans="2:8" x14ac:dyDescent="0.3">
      <c r="B85" s="12" t="s">
        <v>92</v>
      </c>
      <c r="C85" s="4">
        <v>44.36</v>
      </c>
      <c r="D85" s="12">
        <v>0.25</v>
      </c>
      <c r="E85" s="4">
        <v>44.36</v>
      </c>
      <c r="F85" s="12" t="s">
        <v>5</v>
      </c>
      <c r="G85" s="12">
        <v>40.69</v>
      </c>
      <c r="H85" s="12" t="s">
        <v>1195</v>
      </c>
    </row>
    <row r="86" spans="2:8" x14ac:dyDescent="0.3">
      <c r="B86" s="12" t="s">
        <v>93</v>
      </c>
      <c r="C86" s="4">
        <v>44.07</v>
      </c>
      <c r="D86" s="12">
        <v>0.25</v>
      </c>
      <c r="E86" s="4">
        <v>44.07</v>
      </c>
      <c r="F86" s="12" t="s">
        <v>5</v>
      </c>
      <c r="G86" s="12">
        <v>40.630000000000003</v>
      </c>
      <c r="H86" s="12" t="s">
        <v>1195</v>
      </c>
    </row>
    <row r="87" spans="2:8" x14ac:dyDescent="0.3">
      <c r="B87" s="12" t="s">
        <v>94</v>
      </c>
      <c r="C87" s="4">
        <v>43.86</v>
      </c>
      <c r="D87" s="12">
        <v>0.25</v>
      </c>
      <c r="E87" s="4">
        <v>43.86</v>
      </c>
      <c r="F87" s="12" t="s">
        <v>5</v>
      </c>
      <c r="G87" s="12">
        <v>40.57</v>
      </c>
      <c r="H87" s="12" t="s">
        <v>1195</v>
      </c>
    </row>
    <row r="88" spans="2:8" x14ac:dyDescent="0.3">
      <c r="B88" s="12" t="s">
        <v>95</v>
      </c>
      <c r="C88" s="4">
        <v>43.95</v>
      </c>
      <c r="D88" s="12">
        <v>0.25</v>
      </c>
      <c r="E88" s="4">
        <v>43.95</v>
      </c>
      <c r="F88" s="12" t="s">
        <v>5</v>
      </c>
      <c r="G88" s="12">
        <v>40.44</v>
      </c>
      <c r="H88" s="12" t="s">
        <v>1195</v>
      </c>
    </row>
    <row r="89" spans="2:8" x14ac:dyDescent="0.3">
      <c r="B89" s="12" t="s">
        <v>96</v>
      </c>
      <c r="C89" s="14">
        <v>43.86</v>
      </c>
      <c r="D89" s="14">
        <v>0.25</v>
      </c>
      <c r="E89" s="14">
        <v>43.86</v>
      </c>
      <c r="F89" s="12" t="s">
        <v>5</v>
      </c>
      <c r="G89" s="12">
        <v>40.520000000000003</v>
      </c>
      <c r="H89" s="12" t="s">
        <v>1195</v>
      </c>
    </row>
    <row r="90" spans="2:8" x14ac:dyDescent="0.3">
      <c r="B90" s="12" t="s">
        <v>97</v>
      </c>
      <c r="C90" s="4">
        <v>44.16</v>
      </c>
      <c r="D90" s="12">
        <v>0.25</v>
      </c>
      <c r="E90" s="4">
        <v>44.16</v>
      </c>
      <c r="F90" s="12" t="s">
        <v>5</v>
      </c>
      <c r="G90" s="12">
        <v>40.380000000000003</v>
      </c>
      <c r="H90" s="12" t="s">
        <v>1195</v>
      </c>
    </row>
    <row r="91" spans="2:8" x14ac:dyDescent="0.3">
      <c r="B91" s="12" t="s">
        <v>99</v>
      </c>
      <c r="C91" s="4">
        <v>44.32</v>
      </c>
      <c r="D91" s="12">
        <v>0.25</v>
      </c>
      <c r="E91" s="4">
        <v>44.32</v>
      </c>
      <c r="F91" s="12" t="s">
        <v>5</v>
      </c>
      <c r="G91" s="12">
        <v>40.32</v>
      </c>
      <c r="H91" s="12" t="s">
        <v>1195</v>
      </c>
    </row>
    <row r="92" spans="2:8" x14ac:dyDescent="0.3">
      <c r="B92" s="12" t="s">
        <v>100</v>
      </c>
      <c r="C92" s="4">
        <v>44.7</v>
      </c>
      <c r="D92" s="12">
        <v>0.25</v>
      </c>
      <c r="E92" s="4">
        <v>44.7</v>
      </c>
      <c r="F92" s="12" t="s">
        <v>5</v>
      </c>
      <c r="G92" s="12">
        <v>40.33</v>
      </c>
      <c r="H92" s="12" t="s">
        <v>1195</v>
      </c>
    </row>
    <row r="93" spans="2:8" x14ac:dyDescent="0.3">
      <c r="B93" s="12" t="s">
        <v>101</v>
      </c>
      <c r="C93" s="4">
        <v>44.99</v>
      </c>
      <c r="D93" s="12">
        <v>0.25</v>
      </c>
      <c r="E93" s="4">
        <v>44.99</v>
      </c>
      <c r="F93" s="12" t="s">
        <v>5</v>
      </c>
      <c r="G93" s="12">
        <v>40.270000000000003</v>
      </c>
      <c r="H93" s="12" t="s">
        <v>1195</v>
      </c>
    </row>
    <row r="94" spans="2:8" x14ac:dyDescent="0.3">
      <c r="B94" s="12" t="s">
        <v>102</v>
      </c>
      <c r="C94" s="4">
        <v>45.15</v>
      </c>
      <c r="D94" s="12">
        <v>0.25</v>
      </c>
      <c r="E94" s="4">
        <v>45.15</v>
      </c>
      <c r="F94" s="12" t="s">
        <v>5</v>
      </c>
      <c r="G94" s="12">
        <v>40.21</v>
      </c>
      <c r="H94" s="12" t="s">
        <v>1195</v>
      </c>
    </row>
    <row r="95" spans="2:8" x14ac:dyDescent="0.3">
      <c r="B95" s="12" t="s">
        <v>103</v>
      </c>
      <c r="C95" s="12">
        <v>39.5</v>
      </c>
      <c r="D95" s="12">
        <v>0.4</v>
      </c>
      <c r="E95" s="12">
        <v>39.5</v>
      </c>
      <c r="F95" s="12" t="s">
        <v>5</v>
      </c>
      <c r="G95" s="12">
        <v>39.4</v>
      </c>
      <c r="H95" s="12" t="s">
        <v>1293</v>
      </c>
    </row>
    <row r="96" spans="2:8" x14ac:dyDescent="0.3">
      <c r="B96" s="12" t="s">
        <v>105</v>
      </c>
      <c r="C96" s="12">
        <v>83.19</v>
      </c>
      <c r="D96" s="12">
        <v>0.2</v>
      </c>
      <c r="E96" s="12">
        <v>83.19</v>
      </c>
      <c r="F96" s="12" t="s">
        <v>5</v>
      </c>
      <c r="G96" s="12">
        <v>83</v>
      </c>
      <c r="H96" s="12" t="s">
        <v>1293</v>
      </c>
    </row>
    <row r="97" spans="2:8" x14ac:dyDescent="0.3">
      <c r="B97" s="12" t="s">
        <v>107</v>
      </c>
      <c r="C97" s="12">
        <v>81.97</v>
      </c>
      <c r="D97" s="12">
        <v>0.2</v>
      </c>
      <c r="E97" s="12">
        <v>81.97</v>
      </c>
      <c r="F97" s="12" t="s">
        <v>5</v>
      </c>
      <c r="G97" s="12">
        <v>81.87</v>
      </c>
      <c r="H97" s="12" t="s">
        <v>1293</v>
      </c>
    </row>
    <row r="98" spans="2:8" x14ac:dyDescent="0.3">
      <c r="B98" s="12" t="s">
        <v>109</v>
      </c>
      <c r="C98" s="12">
        <v>82.7</v>
      </c>
      <c r="D98" s="12">
        <v>0.5</v>
      </c>
      <c r="E98" s="12">
        <v>82.7</v>
      </c>
      <c r="F98" s="12" t="s">
        <v>5</v>
      </c>
      <c r="G98" s="12">
        <v>82.7</v>
      </c>
      <c r="H98" s="12" t="s">
        <v>1293</v>
      </c>
    </row>
    <row r="99" spans="2:8" x14ac:dyDescent="0.3">
      <c r="B99" s="12" t="s">
        <v>111</v>
      </c>
      <c r="C99" s="12">
        <v>83.07</v>
      </c>
      <c r="D99" s="12">
        <v>0.2</v>
      </c>
      <c r="E99" s="12">
        <v>83.07</v>
      </c>
      <c r="F99" s="12" t="s">
        <v>5</v>
      </c>
      <c r="G99" s="12">
        <v>82.77</v>
      </c>
      <c r="H99" s="12" t="s">
        <v>1293</v>
      </c>
    </row>
    <row r="100" spans="2:8" x14ac:dyDescent="0.3">
      <c r="B100" s="12" t="s">
        <v>113</v>
      </c>
      <c r="C100" s="12">
        <v>83.5</v>
      </c>
      <c r="D100" s="12">
        <v>0.2</v>
      </c>
      <c r="E100" s="12">
        <v>83.5</v>
      </c>
      <c r="F100" s="12" t="s">
        <v>5</v>
      </c>
      <c r="G100" s="12">
        <v>83.24</v>
      </c>
      <c r="H100" s="12" t="s">
        <v>1293</v>
      </c>
    </row>
    <row r="101" spans="2:8" x14ac:dyDescent="0.3">
      <c r="B101" s="12" t="s">
        <v>115</v>
      </c>
      <c r="C101" s="12">
        <v>84</v>
      </c>
      <c r="D101" s="12">
        <v>0.2</v>
      </c>
      <c r="E101" s="12">
        <v>84</v>
      </c>
      <c r="F101" s="12" t="s">
        <v>5</v>
      </c>
      <c r="G101" s="12">
        <v>83.6</v>
      </c>
      <c r="H101" s="12" t="s">
        <v>1195</v>
      </c>
    </row>
    <row r="102" spans="2:8" x14ac:dyDescent="0.3">
      <c r="B102" s="12" t="s">
        <v>117</v>
      </c>
      <c r="C102" s="12">
        <v>84.5</v>
      </c>
      <c r="D102" s="12">
        <v>0.2</v>
      </c>
      <c r="E102" s="12">
        <v>84.5</v>
      </c>
      <c r="F102" s="12" t="s">
        <v>5</v>
      </c>
      <c r="G102" s="12">
        <v>84.37</v>
      </c>
      <c r="H102" s="12" t="s">
        <v>1293</v>
      </c>
    </row>
    <row r="103" spans="2:8" x14ac:dyDescent="0.3">
      <c r="B103" s="12" t="s">
        <v>119</v>
      </c>
      <c r="C103" s="12">
        <v>84.51</v>
      </c>
      <c r="D103" s="12">
        <v>0.2</v>
      </c>
      <c r="E103" s="12">
        <v>84.51</v>
      </c>
      <c r="F103" s="12" t="s">
        <v>5</v>
      </c>
      <c r="G103" s="12">
        <v>84.31</v>
      </c>
      <c r="H103" s="12" t="s">
        <v>1293</v>
      </c>
    </row>
    <row r="104" spans="2:8" x14ac:dyDescent="0.3">
      <c r="B104" s="12" t="s">
        <v>121</v>
      </c>
      <c r="C104" s="12">
        <v>84.8</v>
      </c>
      <c r="D104" s="12">
        <v>0.2</v>
      </c>
      <c r="E104" s="12">
        <v>84.8</v>
      </c>
      <c r="F104" s="12" t="s">
        <v>5</v>
      </c>
      <c r="G104" s="12">
        <v>84.57</v>
      </c>
      <c r="H104" s="12" t="s">
        <v>1293</v>
      </c>
    </row>
    <row r="105" spans="2:8" x14ac:dyDescent="0.3">
      <c r="B105" s="12" t="s">
        <v>123</v>
      </c>
      <c r="C105" s="12">
        <v>84.32</v>
      </c>
      <c r="D105" s="12">
        <v>0.2</v>
      </c>
      <c r="E105" s="12">
        <v>84.32</v>
      </c>
      <c r="F105" s="12" t="s">
        <v>5</v>
      </c>
      <c r="G105" s="12">
        <v>84.12</v>
      </c>
      <c r="H105" s="12" t="s">
        <v>1293</v>
      </c>
    </row>
    <row r="106" spans="2:8" x14ac:dyDescent="0.3">
      <c r="B106" s="12" t="s">
        <v>124</v>
      </c>
      <c r="C106" s="12">
        <v>47.41</v>
      </c>
      <c r="D106" s="12">
        <v>0.25</v>
      </c>
      <c r="E106" s="12">
        <v>47.41</v>
      </c>
      <c r="F106" s="12" t="s">
        <v>5</v>
      </c>
      <c r="G106" s="12">
        <v>44.14</v>
      </c>
      <c r="H106" s="12" t="s">
        <v>1195</v>
      </c>
    </row>
    <row r="107" spans="2:8" x14ac:dyDescent="0.3">
      <c r="B107" s="12" t="s">
        <v>125</v>
      </c>
      <c r="C107" s="4">
        <v>47.98</v>
      </c>
      <c r="D107" s="12">
        <v>0.25</v>
      </c>
      <c r="E107" s="4">
        <v>47.98</v>
      </c>
      <c r="F107" s="12" t="s">
        <v>5</v>
      </c>
      <c r="G107" s="12">
        <v>44.07</v>
      </c>
      <c r="H107" s="12" t="s">
        <v>1195</v>
      </c>
    </row>
    <row r="108" spans="2:8" x14ac:dyDescent="0.3">
      <c r="B108" s="12" t="s">
        <v>126</v>
      </c>
      <c r="C108" s="4">
        <v>47.11</v>
      </c>
      <c r="D108" s="12">
        <v>0.25</v>
      </c>
      <c r="E108" s="4">
        <v>47.11</v>
      </c>
      <c r="F108" s="12" t="s">
        <v>5</v>
      </c>
      <c r="G108" s="12">
        <v>44.01</v>
      </c>
      <c r="H108" s="12" t="s">
        <v>1195</v>
      </c>
    </row>
    <row r="109" spans="2:8" x14ac:dyDescent="0.3">
      <c r="B109" s="12" t="s">
        <v>127</v>
      </c>
      <c r="C109" s="4">
        <v>46.21</v>
      </c>
      <c r="D109" s="12">
        <v>0.25</v>
      </c>
      <c r="E109" s="4">
        <v>46.21</v>
      </c>
      <c r="F109" s="12" t="s">
        <v>5</v>
      </c>
      <c r="G109" s="12">
        <v>43.95</v>
      </c>
      <c r="H109" s="12" t="s">
        <v>1195</v>
      </c>
    </row>
    <row r="110" spans="2:8" x14ac:dyDescent="0.3">
      <c r="B110" s="12" t="s">
        <v>128</v>
      </c>
      <c r="C110" s="4">
        <v>45.42</v>
      </c>
      <c r="D110" s="12">
        <v>0.25</v>
      </c>
      <c r="E110" s="4">
        <v>45.42</v>
      </c>
      <c r="F110" s="12" t="s">
        <v>5</v>
      </c>
      <c r="G110" s="12">
        <v>43.89</v>
      </c>
      <c r="H110" s="12" t="s">
        <v>1195</v>
      </c>
    </row>
    <row r="111" spans="2:8" x14ac:dyDescent="0.3">
      <c r="B111" s="12" t="s">
        <v>129</v>
      </c>
      <c r="C111" s="4">
        <v>44.73</v>
      </c>
      <c r="D111" s="12">
        <v>0.25</v>
      </c>
      <c r="E111" s="4">
        <v>44.73</v>
      </c>
      <c r="F111" s="12" t="s">
        <v>5</v>
      </c>
      <c r="G111" s="12">
        <v>43.83</v>
      </c>
      <c r="H111" s="12" t="s">
        <v>1195</v>
      </c>
    </row>
    <row r="112" spans="2:8" x14ac:dyDescent="0.3">
      <c r="B112" s="12" t="s">
        <v>130</v>
      </c>
      <c r="C112" s="4">
        <v>44.13</v>
      </c>
      <c r="D112" s="12">
        <v>0.25</v>
      </c>
      <c r="E112" s="4">
        <v>44.13</v>
      </c>
      <c r="F112" s="12" t="s">
        <v>5</v>
      </c>
      <c r="G112" s="12">
        <v>43.77</v>
      </c>
      <c r="H112" s="12" t="s">
        <v>1195</v>
      </c>
    </row>
    <row r="113" spans="2:8" x14ac:dyDescent="0.3">
      <c r="B113" s="12" t="s">
        <v>131</v>
      </c>
      <c r="C113" s="12">
        <v>43.88</v>
      </c>
      <c r="D113" s="12">
        <v>0.25</v>
      </c>
      <c r="E113" s="12">
        <v>43.88</v>
      </c>
      <c r="F113" s="12" t="s">
        <v>5</v>
      </c>
      <c r="G113" s="12">
        <v>43.71</v>
      </c>
      <c r="H113" s="12" t="s">
        <v>1293</v>
      </c>
    </row>
    <row r="114" spans="2:8" x14ac:dyDescent="0.3">
      <c r="B114" s="12" t="s">
        <v>132</v>
      </c>
      <c r="C114" s="12">
        <v>43.85</v>
      </c>
      <c r="D114" s="12">
        <v>0.25</v>
      </c>
      <c r="E114" s="12">
        <v>43.85</v>
      </c>
      <c r="F114" s="12" t="s">
        <v>5</v>
      </c>
      <c r="G114" s="12">
        <v>43.65</v>
      </c>
      <c r="H114" s="12" t="s">
        <v>1293</v>
      </c>
    </row>
    <row r="115" spans="2:8" x14ac:dyDescent="0.3">
      <c r="B115" s="12" t="s">
        <v>133</v>
      </c>
      <c r="C115" s="12">
        <v>43.79</v>
      </c>
      <c r="D115" s="12">
        <v>0.25</v>
      </c>
      <c r="E115" s="12">
        <v>43.79</v>
      </c>
      <c r="F115" s="12" t="s">
        <v>5</v>
      </c>
      <c r="G115" s="12">
        <v>43.59</v>
      </c>
      <c r="H115" s="12" t="s">
        <v>1293</v>
      </c>
    </row>
    <row r="116" spans="2:8" x14ac:dyDescent="0.3">
      <c r="B116" s="12" t="s">
        <v>134</v>
      </c>
      <c r="C116" s="12">
        <v>43.58</v>
      </c>
      <c r="D116" s="12">
        <v>0.25</v>
      </c>
      <c r="E116" s="12">
        <v>43.58</v>
      </c>
      <c r="F116" s="12" t="s">
        <v>5</v>
      </c>
      <c r="G116" s="12">
        <v>43.48</v>
      </c>
      <c r="H116" s="12" t="s">
        <v>1293</v>
      </c>
    </row>
    <row r="117" spans="2:8" x14ac:dyDescent="0.3">
      <c r="B117" s="12" t="s">
        <v>135</v>
      </c>
      <c r="C117" s="12">
        <v>43.5</v>
      </c>
      <c r="D117" s="12">
        <v>0.25</v>
      </c>
      <c r="E117" s="12">
        <v>43.5</v>
      </c>
      <c r="F117" s="12" t="s">
        <v>5</v>
      </c>
      <c r="G117" s="12">
        <v>43.4</v>
      </c>
      <c r="H117" s="12" t="s">
        <v>1293</v>
      </c>
    </row>
    <row r="118" spans="2:8" x14ac:dyDescent="0.3">
      <c r="B118" s="12" t="s">
        <v>136</v>
      </c>
      <c r="C118" s="12">
        <v>43.5</v>
      </c>
      <c r="D118" s="12">
        <v>0.25</v>
      </c>
      <c r="E118" s="12">
        <v>43.5</v>
      </c>
      <c r="F118" s="12" t="s">
        <v>5</v>
      </c>
      <c r="G118" s="12">
        <v>43.35</v>
      </c>
      <c r="H118" s="12" t="s">
        <v>1293</v>
      </c>
    </row>
    <row r="119" spans="2:8" x14ac:dyDescent="0.3">
      <c r="B119" s="12" t="s">
        <v>137</v>
      </c>
      <c r="C119" s="12">
        <v>43.54</v>
      </c>
      <c r="D119" s="12">
        <v>0.25</v>
      </c>
      <c r="E119" s="12">
        <v>43.54</v>
      </c>
      <c r="F119" s="12" t="s">
        <v>5</v>
      </c>
      <c r="G119" s="12">
        <v>43.29</v>
      </c>
      <c r="H119" s="12" t="s">
        <v>1293</v>
      </c>
    </row>
    <row r="120" spans="2:8" x14ac:dyDescent="0.3">
      <c r="B120" s="12" t="s">
        <v>139</v>
      </c>
      <c r="C120" s="12">
        <v>43.5</v>
      </c>
      <c r="D120" s="12">
        <v>0.2</v>
      </c>
      <c r="E120" s="12">
        <v>43.5</v>
      </c>
      <c r="F120" s="12" t="s">
        <v>5</v>
      </c>
      <c r="G120" s="12">
        <v>43.25</v>
      </c>
      <c r="H120" s="12" t="s">
        <v>1293</v>
      </c>
    </row>
    <row r="121" spans="2:8" x14ac:dyDescent="0.3">
      <c r="B121" s="12" t="s">
        <v>141</v>
      </c>
      <c r="C121" s="12">
        <v>43.17</v>
      </c>
      <c r="D121" s="12">
        <v>0.4</v>
      </c>
      <c r="E121" s="12">
        <v>43.17</v>
      </c>
      <c r="F121" s="12" t="s">
        <v>5</v>
      </c>
      <c r="G121" s="12">
        <v>43.17</v>
      </c>
      <c r="H121" s="12" t="s">
        <v>1293</v>
      </c>
    </row>
    <row r="122" spans="2:8" x14ac:dyDescent="0.3">
      <c r="B122" s="12" t="s">
        <v>143</v>
      </c>
      <c r="C122" s="12">
        <v>43.35</v>
      </c>
      <c r="D122" s="12">
        <v>0.2</v>
      </c>
      <c r="E122" s="12">
        <v>43.35</v>
      </c>
      <c r="F122" s="12" t="s">
        <v>5</v>
      </c>
      <c r="G122" s="12">
        <v>43.15</v>
      </c>
      <c r="H122" s="12" t="s">
        <v>1293</v>
      </c>
    </row>
    <row r="123" spans="2:8" x14ac:dyDescent="0.3">
      <c r="B123" s="12" t="s">
        <v>144</v>
      </c>
      <c r="C123" s="4">
        <v>43.51</v>
      </c>
      <c r="D123" s="12">
        <v>0.25</v>
      </c>
      <c r="E123" s="4">
        <v>43.51</v>
      </c>
      <c r="F123" s="12" t="s">
        <v>5</v>
      </c>
      <c r="G123" s="12">
        <v>42.74</v>
      </c>
      <c r="H123" s="12" t="s">
        <v>1293</v>
      </c>
    </row>
    <row r="124" spans="2:8" x14ac:dyDescent="0.3">
      <c r="B124" s="12" t="s">
        <v>145</v>
      </c>
      <c r="C124" s="4">
        <v>43.94</v>
      </c>
      <c r="D124" s="12">
        <v>0.25</v>
      </c>
      <c r="E124" s="4">
        <v>43.94</v>
      </c>
      <c r="F124" s="12" t="s">
        <v>5</v>
      </c>
      <c r="G124" s="12">
        <v>42.14</v>
      </c>
      <c r="H124" s="12" t="s">
        <v>1195</v>
      </c>
    </row>
    <row r="125" spans="2:8" x14ac:dyDescent="0.3">
      <c r="B125" s="12" t="s">
        <v>146</v>
      </c>
      <c r="C125" s="4">
        <v>44.57</v>
      </c>
      <c r="D125" s="12">
        <v>0.25</v>
      </c>
      <c r="E125" s="4">
        <v>44.57</v>
      </c>
      <c r="F125" s="12" t="s">
        <v>5</v>
      </c>
      <c r="G125" s="12">
        <v>41.54</v>
      </c>
      <c r="H125" s="12" t="s">
        <v>1195</v>
      </c>
    </row>
    <row r="126" spans="2:8" x14ac:dyDescent="0.3">
      <c r="B126" s="12" t="s">
        <v>147</v>
      </c>
      <c r="C126" s="4">
        <v>45.16</v>
      </c>
      <c r="D126" s="12">
        <v>0.25</v>
      </c>
      <c r="E126" s="4">
        <v>45.16</v>
      </c>
      <c r="F126" s="12" t="s">
        <v>5</v>
      </c>
      <c r="G126" s="12">
        <v>40.94</v>
      </c>
      <c r="H126" s="12" t="s">
        <v>1195</v>
      </c>
    </row>
    <row r="127" spans="2:8" x14ac:dyDescent="0.3">
      <c r="B127" s="12" t="s">
        <v>148</v>
      </c>
      <c r="C127" s="4">
        <v>45.6</v>
      </c>
      <c r="D127" s="12">
        <v>0.25</v>
      </c>
      <c r="E127" s="4">
        <v>45.6</v>
      </c>
      <c r="F127" s="12" t="s">
        <v>5</v>
      </c>
      <c r="G127" s="12">
        <v>40.58</v>
      </c>
      <c r="H127" s="12" t="s">
        <v>1195</v>
      </c>
    </row>
    <row r="128" spans="2:8" x14ac:dyDescent="0.3">
      <c r="B128" s="12" t="s">
        <v>149</v>
      </c>
      <c r="C128" s="4">
        <v>46.22</v>
      </c>
      <c r="D128" s="12">
        <v>0.25</v>
      </c>
      <c r="E128" s="4">
        <v>46.22</v>
      </c>
      <c r="F128" s="12" t="s">
        <v>5</v>
      </c>
      <c r="G128" s="12">
        <v>40.450000000000003</v>
      </c>
      <c r="H128" s="12" t="s">
        <v>1195</v>
      </c>
    </row>
    <row r="129" spans="2:8" x14ac:dyDescent="0.3">
      <c r="B129" s="12" t="s">
        <v>150</v>
      </c>
      <c r="C129" s="4">
        <v>46.61</v>
      </c>
      <c r="D129" s="12">
        <v>0.25</v>
      </c>
      <c r="E129" s="4">
        <v>46.61</v>
      </c>
      <c r="F129" s="12" t="s">
        <v>5</v>
      </c>
      <c r="G129" s="12">
        <v>40.32</v>
      </c>
      <c r="H129" s="12" t="s">
        <v>1195</v>
      </c>
    </row>
    <row r="130" spans="2:8" x14ac:dyDescent="0.3">
      <c r="B130" s="12" t="s">
        <v>151</v>
      </c>
      <c r="C130" s="4">
        <v>46.95</v>
      </c>
      <c r="D130" s="12">
        <v>0.25</v>
      </c>
      <c r="E130" s="4">
        <v>46.95</v>
      </c>
      <c r="F130" s="12" t="s">
        <v>5</v>
      </c>
      <c r="G130" s="12">
        <v>40.19</v>
      </c>
      <c r="H130" s="12" t="s">
        <v>1195</v>
      </c>
    </row>
    <row r="131" spans="2:8" x14ac:dyDescent="0.3">
      <c r="B131" s="12" t="s">
        <v>152</v>
      </c>
      <c r="C131" s="4">
        <v>47.07</v>
      </c>
      <c r="D131" s="12">
        <v>0.25</v>
      </c>
      <c r="E131" s="4">
        <v>47.07</v>
      </c>
      <c r="F131" s="12" t="s">
        <v>5</v>
      </c>
      <c r="G131" s="12">
        <v>40.07</v>
      </c>
      <c r="H131" s="12" t="s">
        <v>1195</v>
      </c>
    </row>
    <row r="132" spans="2:8" x14ac:dyDescent="0.3">
      <c r="B132" s="12" t="s">
        <v>153</v>
      </c>
      <c r="C132" s="4">
        <v>47.19</v>
      </c>
      <c r="D132" s="12">
        <v>0.25</v>
      </c>
      <c r="E132" s="4">
        <v>47.19</v>
      </c>
      <c r="F132" s="12" t="s">
        <v>5</v>
      </c>
      <c r="G132" s="12">
        <v>40.17</v>
      </c>
      <c r="H132" s="12" t="s">
        <v>1195</v>
      </c>
    </row>
    <row r="133" spans="2:8" x14ac:dyDescent="0.3">
      <c r="B133" s="12" t="s">
        <v>154</v>
      </c>
      <c r="C133" s="4">
        <v>47.09</v>
      </c>
      <c r="D133" s="12">
        <v>0.25</v>
      </c>
      <c r="E133" s="4">
        <v>47.09</v>
      </c>
      <c r="F133" s="12" t="s">
        <v>5</v>
      </c>
      <c r="G133" s="12">
        <v>40.380000000000003</v>
      </c>
      <c r="H133" s="12" t="s">
        <v>1195</v>
      </c>
    </row>
    <row r="134" spans="2:8" x14ac:dyDescent="0.3">
      <c r="B134" s="12" t="s">
        <v>156</v>
      </c>
      <c r="C134" s="12">
        <v>40.19</v>
      </c>
      <c r="D134" s="12">
        <v>0.4</v>
      </c>
      <c r="E134" s="12">
        <v>40.19</v>
      </c>
      <c r="F134" s="12" t="s">
        <v>5</v>
      </c>
      <c r="G134" s="12">
        <v>40.19</v>
      </c>
      <c r="H134" s="12" t="s">
        <v>1293</v>
      </c>
    </row>
    <row r="135" spans="2:8" x14ac:dyDescent="0.3">
      <c r="B135" s="12" t="s">
        <v>157</v>
      </c>
      <c r="C135" s="12">
        <v>45.99</v>
      </c>
      <c r="D135" s="12">
        <v>0.25</v>
      </c>
      <c r="E135" s="12">
        <v>45.99</v>
      </c>
      <c r="F135" s="12" t="s">
        <v>5</v>
      </c>
      <c r="G135" s="12">
        <v>40.47</v>
      </c>
      <c r="H135" s="12" t="s">
        <v>1195</v>
      </c>
    </row>
    <row r="136" spans="2:8" x14ac:dyDescent="0.3">
      <c r="B136" s="12" t="s">
        <v>159</v>
      </c>
      <c r="C136" s="12">
        <v>82.12</v>
      </c>
      <c r="D136" s="12">
        <v>0.2</v>
      </c>
      <c r="E136" s="12">
        <v>82.12</v>
      </c>
      <c r="F136" s="12" t="s">
        <v>5</v>
      </c>
      <c r="G136" s="12">
        <v>81.95</v>
      </c>
      <c r="H136" s="12" t="s">
        <v>1293</v>
      </c>
    </row>
    <row r="137" spans="2:8" x14ac:dyDescent="0.3">
      <c r="B137" s="12" t="s">
        <v>161</v>
      </c>
      <c r="C137" s="12">
        <v>56.71</v>
      </c>
      <c r="D137" s="12">
        <v>0.4</v>
      </c>
      <c r="E137" s="12">
        <v>56.71</v>
      </c>
      <c r="F137" s="12" t="s">
        <v>5</v>
      </c>
      <c r="G137" s="12">
        <v>56.61</v>
      </c>
      <c r="H137" s="12" t="s">
        <v>1293</v>
      </c>
    </row>
    <row r="138" spans="2:8" x14ac:dyDescent="0.3">
      <c r="B138" s="12" t="s">
        <v>162</v>
      </c>
      <c r="C138" s="12">
        <v>85.9</v>
      </c>
      <c r="D138" s="12">
        <v>0.2</v>
      </c>
      <c r="E138" s="12">
        <v>85.9</v>
      </c>
      <c r="F138" s="12" t="s">
        <v>5</v>
      </c>
      <c r="G138" s="12">
        <v>85.75</v>
      </c>
      <c r="H138" s="12" t="s">
        <v>1293</v>
      </c>
    </row>
    <row r="139" spans="2:8" x14ac:dyDescent="0.3">
      <c r="B139" s="12" t="s">
        <v>164</v>
      </c>
      <c r="C139" s="12">
        <v>81.849999999999994</v>
      </c>
      <c r="D139" s="12">
        <v>0.4</v>
      </c>
      <c r="E139" s="12">
        <v>81.849999999999994</v>
      </c>
      <c r="F139" s="12" t="s">
        <v>5</v>
      </c>
      <c r="G139" s="12">
        <v>81.84</v>
      </c>
      <c r="H139" s="12" t="s">
        <v>1293</v>
      </c>
    </row>
    <row r="140" spans="2:8" x14ac:dyDescent="0.3">
      <c r="B140" s="12" t="s">
        <v>165</v>
      </c>
      <c r="C140" s="12">
        <v>54.16</v>
      </c>
      <c r="D140" s="12">
        <v>0.25</v>
      </c>
      <c r="E140" s="12">
        <v>54.16</v>
      </c>
      <c r="F140" s="12" t="s">
        <v>5</v>
      </c>
      <c r="G140" s="12">
        <v>47.3</v>
      </c>
      <c r="H140" s="12" t="s">
        <v>1195</v>
      </c>
    </row>
    <row r="141" spans="2:8" x14ac:dyDescent="0.3">
      <c r="B141" s="12" t="s">
        <v>167</v>
      </c>
      <c r="C141" s="12">
        <v>83.12</v>
      </c>
      <c r="D141" s="12">
        <v>0.2</v>
      </c>
      <c r="E141" s="12">
        <v>83.12</v>
      </c>
      <c r="F141" s="12" t="s">
        <v>5</v>
      </c>
      <c r="G141" s="12">
        <v>82.92</v>
      </c>
      <c r="H141" s="12" t="s">
        <v>1293</v>
      </c>
    </row>
    <row r="142" spans="2:8" x14ac:dyDescent="0.3">
      <c r="B142" s="12" t="s">
        <v>1247</v>
      </c>
      <c r="C142" s="12">
        <v>46.81</v>
      </c>
      <c r="D142" s="12">
        <v>0.2</v>
      </c>
      <c r="E142" s="12">
        <v>46.81</v>
      </c>
      <c r="F142" s="12" t="s">
        <v>5</v>
      </c>
      <c r="G142" s="12">
        <v>46.61</v>
      </c>
      <c r="H142" s="12" t="s">
        <v>1293</v>
      </c>
    </row>
    <row r="143" spans="2:8" x14ac:dyDescent="0.3">
      <c r="B143" s="12" t="s">
        <v>169</v>
      </c>
      <c r="C143" s="12">
        <v>43.8</v>
      </c>
      <c r="D143" s="12">
        <v>0.2</v>
      </c>
      <c r="E143" s="12">
        <v>43.8</v>
      </c>
      <c r="F143" s="12" t="s">
        <v>5</v>
      </c>
      <c r="G143" s="12">
        <v>43.78</v>
      </c>
      <c r="H143" s="12" t="s">
        <v>1293</v>
      </c>
    </row>
    <row r="144" spans="2:8" x14ac:dyDescent="0.3">
      <c r="B144" s="12" t="s">
        <v>171</v>
      </c>
      <c r="C144" s="12">
        <v>43.97</v>
      </c>
      <c r="D144" s="12">
        <v>0.2</v>
      </c>
      <c r="E144" s="12">
        <v>43.97</v>
      </c>
      <c r="F144" s="12" t="s">
        <v>5</v>
      </c>
      <c r="G144" s="12">
        <v>43.82</v>
      </c>
      <c r="H144" s="12" t="s">
        <v>1293</v>
      </c>
    </row>
    <row r="145" spans="2:8" x14ac:dyDescent="0.3">
      <c r="B145" s="12" t="s">
        <v>173</v>
      </c>
      <c r="C145" s="12">
        <v>44.56</v>
      </c>
      <c r="D145" s="12">
        <v>0.2</v>
      </c>
      <c r="E145" s="12">
        <v>44.56</v>
      </c>
      <c r="F145" s="12" t="s">
        <v>5</v>
      </c>
      <c r="G145" s="12">
        <v>44.36</v>
      </c>
      <c r="H145" s="12" t="s">
        <v>1293</v>
      </c>
    </row>
    <row r="146" spans="2:8" x14ac:dyDescent="0.3">
      <c r="B146" s="12" t="s">
        <v>175</v>
      </c>
      <c r="C146" s="12">
        <v>44.8</v>
      </c>
      <c r="D146" s="12">
        <v>0.2</v>
      </c>
      <c r="E146" s="12">
        <v>44.8</v>
      </c>
      <c r="F146" s="12" t="s">
        <v>5</v>
      </c>
      <c r="G146" s="12">
        <v>44.6</v>
      </c>
      <c r="H146" s="12" t="s">
        <v>1293</v>
      </c>
    </row>
    <row r="147" spans="2:8" x14ac:dyDescent="0.3">
      <c r="B147" s="12" t="s">
        <v>177</v>
      </c>
      <c r="C147" s="12">
        <v>45.08</v>
      </c>
      <c r="D147" s="12">
        <v>0.2</v>
      </c>
      <c r="E147" s="12">
        <v>45.08</v>
      </c>
      <c r="F147" s="12" t="s">
        <v>5</v>
      </c>
      <c r="G147" s="12">
        <v>44.88</v>
      </c>
      <c r="H147" s="12" t="s">
        <v>1293</v>
      </c>
    </row>
    <row r="148" spans="2:8" x14ac:dyDescent="0.3">
      <c r="B148" s="12" t="s">
        <v>179</v>
      </c>
      <c r="C148" s="12">
        <v>45.14</v>
      </c>
      <c r="D148" s="12">
        <v>0.2</v>
      </c>
      <c r="E148" s="12">
        <v>45.14</v>
      </c>
      <c r="F148" s="12" t="s">
        <v>5</v>
      </c>
      <c r="G148" s="12">
        <v>44.94</v>
      </c>
      <c r="H148" s="12" t="s">
        <v>1293</v>
      </c>
    </row>
    <row r="149" spans="2:8" x14ac:dyDescent="0.3">
      <c r="B149" s="12" t="s">
        <v>181</v>
      </c>
      <c r="C149" s="12">
        <v>45.21</v>
      </c>
      <c r="D149" s="12">
        <v>0.2</v>
      </c>
      <c r="E149" s="12">
        <v>45.21</v>
      </c>
      <c r="F149" s="12" t="s">
        <v>5</v>
      </c>
      <c r="G149" s="12">
        <v>45.01</v>
      </c>
      <c r="H149" s="12" t="s">
        <v>1293</v>
      </c>
    </row>
    <row r="150" spans="2:8" x14ac:dyDescent="0.3">
      <c r="B150" s="12" t="s">
        <v>183</v>
      </c>
      <c r="C150" s="12">
        <v>45.25</v>
      </c>
      <c r="D150" s="12">
        <v>0.2</v>
      </c>
      <c r="E150" s="12">
        <v>45.25</v>
      </c>
      <c r="F150" s="12" t="s">
        <v>5</v>
      </c>
      <c r="G150" s="12">
        <v>45.05</v>
      </c>
      <c r="H150" s="12" t="s">
        <v>1293</v>
      </c>
    </row>
    <row r="151" spans="2:8" x14ac:dyDescent="0.3">
      <c r="B151" s="12" t="s">
        <v>185</v>
      </c>
      <c r="C151" s="12">
        <v>48.33</v>
      </c>
      <c r="D151" s="12">
        <v>0.2</v>
      </c>
      <c r="E151" s="12">
        <v>48.33</v>
      </c>
      <c r="F151" s="12" t="s">
        <v>5</v>
      </c>
      <c r="G151" s="12">
        <v>48.13</v>
      </c>
      <c r="H151" s="12" t="s">
        <v>1293</v>
      </c>
    </row>
    <row r="152" spans="2:8" x14ac:dyDescent="0.3">
      <c r="B152" s="12" t="s">
        <v>187</v>
      </c>
      <c r="C152" s="12">
        <v>47.74</v>
      </c>
      <c r="D152" s="12">
        <v>0.2</v>
      </c>
      <c r="E152" s="12">
        <v>47.74</v>
      </c>
      <c r="F152" s="12" t="s">
        <v>5</v>
      </c>
      <c r="G152" s="12">
        <v>47</v>
      </c>
      <c r="H152" s="12" t="s">
        <v>1195</v>
      </c>
    </row>
    <row r="153" spans="2:8" x14ac:dyDescent="0.3">
      <c r="B153" s="12" t="s">
        <v>189</v>
      </c>
      <c r="C153" s="12">
        <v>56.77</v>
      </c>
      <c r="D153" s="12">
        <v>0.2</v>
      </c>
      <c r="E153" s="12">
        <v>56.77</v>
      </c>
      <c r="F153" s="12" t="s">
        <v>5</v>
      </c>
      <c r="G153" s="12">
        <v>55.98</v>
      </c>
      <c r="H153" s="12" t="s">
        <v>1195</v>
      </c>
    </row>
    <row r="154" spans="2:8" x14ac:dyDescent="0.3">
      <c r="B154" s="12" t="s">
        <v>191</v>
      </c>
      <c r="C154" s="12">
        <v>55.25</v>
      </c>
      <c r="D154" s="12">
        <v>0.2</v>
      </c>
      <c r="E154" s="12">
        <v>55.25</v>
      </c>
      <c r="F154" s="12" t="s">
        <v>5</v>
      </c>
      <c r="G154" s="12">
        <v>54.39</v>
      </c>
      <c r="H154" s="12" t="s">
        <v>1195</v>
      </c>
    </row>
    <row r="155" spans="2:8" x14ac:dyDescent="0.3">
      <c r="B155" s="12" t="s">
        <v>193</v>
      </c>
      <c r="C155" s="4">
        <v>53.52</v>
      </c>
      <c r="D155" s="12">
        <v>0.2</v>
      </c>
      <c r="E155" s="4">
        <v>53.52</v>
      </c>
      <c r="F155" s="12" t="s">
        <v>5</v>
      </c>
      <c r="G155" s="12">
        <v>52.8</v>
      </c>
      <c r="H155" s="12" t="s">
        <v>1293</v>
      </c>
    </row>
    <row r="156" spans="2:8" x14ac:dyDescent="0.3">
      <c r="B156" s="12" t="s">
        <v>195</v>
      </c>
      <c r="C156" s="4">
        <v>51.63</v>
      </c>
      <c r="D156" s="12">
        <v>0.2</v>
      </c>
      <c r="E156" s="4">
        <v>51.63</v>
      </c>
      <c r="F156" s="12" t="s">
        <v>5</v>
      </c>
      <c r="G156" s="12">
        <v>50.65</v>
      </c>
      <c r="H156" s="12" t="s">
        <v>1195</v>
      </c>
    </row>
    <row r="157" spans="2:8" x14ac:dyDescent="0.3">
      <c r="B157" s="12" t="s">
        <v>197</v>
      </c>
      <c r="C157" s="4">
        <v>49.78</v>
      </c>
      <c r="D157" s="12">
        <v>0.2</v>
      </c>
      <c r="E157" s="4">
        <v>49.78</v>
      </c>
      <c r="F157" s="12" t="s">
        <v>5</v>
      </c>
      <c r="G157" s="12">
        <v>49.58</v>
      </c>
      <c r="H157" s="12" t="s">
        <v>1293</v>
      </c>
    </row>
    <row r="158" spans="2:8" x14ac:dyDescent="0.3">
      <c r="B158" s="12" t="s">
        <v>199</v>
      </c>
      <c r="C158" s="4">
        <v>47.43</v>
      </c>
      <c r="D158" s="12">
        <v>0.2</v>
      </c>
      <c r="E158" s="4">
        <v>47.43</v>
      </c>
      <c r="F158" s="12" t="s">
        <v>5</v>
      </c>
      <c r="G158" s="12">
        <v>46.96</v>
      </c>
      <c r="H158" s="12" t="s">
        <v>1195</v>
      </c>
    </row>
    <row r="159" spans="2:8" x14ac:dyDescent="0.3">
      <c r="B159" s="12" t="s">
        <v>201</v>
      </c>
      <c r="C159" s="4">
        <v>47.71</v>
      </c>
      <c r="D159" s="12">
        <v>0.2</v>
      </c>
      <c r="E159" s="4">
        <v>47.71</v>
      </c>
      <c r="F159" s="12" t="s">
        <v>5</v>
      </c>
      <c r="G159" s="12">
        <v>47.23</v>
      </c>
      <c r="H159" s="12" t="s">
        <v>1293</v>
      </c>
    </row>
    <row r="160" spans="2:8" x14ac:dyDescent="0.3">
      <c r="B160" s="12" t="s">
        <v>203</v>
      </c>
      <c r="C160" s="4">
        <v>48.07</v>
      </c>
      <c r="D160" s="12">
        <v>0.2</v>
      </c>
      <c r="E160" s="4">
        <v>48.07</v>
      </c>
      <c r="F160" s="12" t="s">
        <v>5</v>
      </c>
      <c r="G160" s="12">
        <v>47.05</v>
      </c>
      <c r="H160" s="12" t="s">
        <v>1195</v>
      </c>
    </row>
    <row r="161" spans="2:8" x14ac:dyDescent="0.3">
      <c r="B161" s="12" t="s">
        <v>205</v>
      </c>
      <c r="C161" s="4">
        <v>48.09</v>
      </c>
      <c r="D161" s="12">
        <v>0.2</v>
      </c>
      <c r="E161" s="4">
        <v>48.09</v>
      </c>
      <c r="F161" s="12" t="s">
        <v>5</v>
      </c>
      <c r="G161" s="12">
        <v>47.34</v>
      </c>
      <c r="H161" s="12" t="s">
        <v>1293</v>
      </c>
    </row>
    <row r="162" spans="2:8" x14ac:dyDescent="0.3">
      <c r="B162" s="12" t="s">
        <v>207</v>
      </c>
      <c r="C162" s="4">
        <v>48.53</v>
      </c>
      <c r="D162" s="12">
        <v>0.2</v>
      </c>
      <c r="E162" s="4">
        <v>48.53</v>
      </c>
      <c r="F162" s="12" t="s">
        <v>5</v>
      </c>
      <c r="G162" s="12">
        <v>47.12</v>
      </c>
      <c r="H162" s="12" t="s">
        <v>1195</v>
      </c>
    </row>
    <row r="163" spans="2:8" x14ac:dyDescent="0.3">
      <c r="B163" s="12" t="s">
        <v>209</v>
      </c>
      <c r="C163" s="4">
        <v>48.47</v>
      </c>
      <c r="D163" s="12">
        <v>0.2</v>
      </c>
      <c r="E163" s="4">
        <v>48.47</v>
      </c>
      <c r="F163" s="12" t="s">
        <v>5</v>
      </c>
      <c r="G163" s="12">
        <v>47.4</v>
      </c>
      <c r="H163" s="12" t="s">
        <v>1195</v>
      </c>
    </row>
    <row r="164" spans="2:8" x14ac:dyDescent="0.3">
      <c r="B164" s="12" t="s">
        <v>211</v>
      </c>
      <c r="C164" s="4">
        <v>48.82</v>
      </c>
      <c r="D164" s="12">
        <v>0.2</v>
      </c>
      <c r="E164" s="4">
        <v>48.82</v>
      </c>
      <c r="F164" s="12" t="s">
        <v>5</v>
      </c>
      <c r="G164" s="12">
        <v>47.46</v>
      </c>
      <c r="H164" s="12" t="s">
        <v>1195</v>
      </c>
    </row>
    <row r="165" spans="2:8" x14ac:dyDescent="0.3">
      <c r="B165" s="12" t="s">
        <v>213</v>
      </c>
      <c r="C165" s="4">
        <v>49.18</v>
      </c>
      <c r="D165" s="12">
        <v>0.2</v>
      </c>
      <c r="E165" s="4">
        <v>49.18</v>
      </c>
      <c r="F165" s="12" t="s">
        <v>5</v>
      </c>
      <c r="G165" s="12">
        <v>47.52</v>
      </c>
      <c r="H165" s="12" t="s">
        <v>1195</v>
      </c>
    </row>
    <row r="166" spans="2:8" x14ac:dyDescent="0.3">
      <c r="B166" s="12" t="s">
        <v>215</v>
      </c>
      <c r="C166" s="4">
        <v>49.54</v>
      </c>
      <c r="D166" s="12">
        <v>0.2</v>
      </c>
      <c r="E166" s="4">
        <v>49.54</v>
      </c>
      <c r="F166" s="12" t="s">
        <v>5</v>
      </c>
      <c r="G166" s="12">
        <v>47.58</v>
      </c>
      <c r="H166" s="12" t="s">
        <v>1195</v>
      </c>
    </row>
    <row r="167" spans="2:8" x14ac:dyDescent="0.3">
      <c r="B167" s="12" t="s">
        <v>217</v>
      </c>
      <c r="C167" s="4">
        <v>49.84</v>
      </c>
      <c r="D167" s="12">
        <v>0.2</v>
      </c>
      <c r="E167" s="4">
        <v>49.84</v>
      </c>
      <c r="F167" s="12" t="s">
        <v>5</v>
      </c>
      <c r="G167" s="12">
        <v>47.64</v>
      </c>
      <c r="H167" s="12" t="s">
        <v>1195</v>
      </c>
    </row>
    <row r="168" spans="2:8" x14ac:dyDescent="0.3">
      <c r="B168" s="12" t="s">
        <v>219</v>
      </c>
      <c r="C168" s="4">
        <v>49.99</v>
      </c>
      <c r="D168" s="12">
        <v>0.2</v>
      </c>
      <c r="E168" s="4">
        <v>49.99</v>
      </c>
      <c r="F168" s="12" t="s">
        <v>5</v>
      </c>
      <c r="G168" s="12">
        <v>47.69</v>
      </c>
      <c r="H168" s="12" t="s">
        <v>1195</v>
      </c>
    </row>
    <row r="169" spans="2:8" x14ac:dyDescent="0.3">
      <c r="B169" s="12" t="s">
        <v>221</v>
      </c>
      <c r="C169" s="4">
        <v>49.9</v>
      </c>
      <c r="D169" s="12">
        <v>0.2</v>
      </c>
      <c r="E169" s="4">
        <v>49.9</v>
      </c>
      <c r="F169" s="12" t="s">
        <v>5</v>
      </c>
      <c r="G169" s="12">
        <v>48.57</v>
      </c>
      <c r="H169" s="12" t="s">
        <v>1195</v>
      </c>
    </row>
    <row r="170" spans="2:8" x14ac:dyDescent="0.3">
      <c r="B170" s="12" t="s">
        <v>223</v>
      </c>
      <c r="C170" s="4">
        <v>50</v>
      </c>
      <c r="D170" s="12">
        <v>0.2</v>
      </c>
      <c r="E170" s="4">
        <v>50</v>
      </c>
      <c r="F170" s="12" t="s">
        <v>5</v>
      </c>
      <c r="G170" s="12">
        <v>48.76</v>
      </c>
      <c r="H170" s="12" t="s">
        <v>1195</v>
      </c>
    </row>
    <row r="171" spans="2:8" x14ac:dyDescent="0.3">
      <c r="B171" s="12" t="s">
        <v>225</v>
      </c>
      <c r="C171" s="4">
        <v>49.82</v>
      </c>
      <c r="D171" s="12">
        <v>0.2</v>
      </c>
      <c r="E171" s="4">
        <v>49.82</v>
      </c>
      <c r="F171" s="12" t="s">
        <v>5</v>
      </c>
      <c r="G171" s="12">
        <v>48.98</v>
      </c>
      <c r="H171" s="12" t="s">
        <v>1195</v>
      </c>
    </row>
    <row r="172" spans="2:8" x14ac:dyDescent="0.3">
      <c r="B172" s="12" t="s">
        <v>227</v>
      </c>
      <c r="C172" s="4">
        <v>49.82</v>
      </c>
      <c r="D172" s="12">
        <v>0.2</v>
      </c>
      <c r="E172" s="4">
        <v>49.82</v>
      </c>
      <c r="F172" s="12" t="s">
        <v>5</v>
      </c>
      <c r="G172" s="12">
        <v>48.47</v>
      </c>
      <c r="H172" s="12" t="s">
        <v>1195</v>
      </c>
    </row>
    <row r="173" spans="2:8" x14ac:dyDescent="0.3">
      <c r="B173" s="12" t="s">
        <v>229</v>
      </c>
      <c r="C173" s="4">
        <v>49.69</v>
      </c>
      <c r="D173" s="12">
        <v>0.2</v>
      </c>
      <c r="E173" s="4">
        <v>49.69</v>
      </c>
      <c r="F173" s="12" t="s">
        <v>5</v>
      </c>
      <c r="G173" s="12">
        <v>48.53</v>
      </c>
      <c r="H173" s="12" t="s">
        <v>1195</v>
      </c>
    </row>
    <row r="174" spans="2:8" x14ac:dyDescent="0.3">
      <c r="B174" s="12" t="s">
        <v>231</v>
      </c>
      <c r="C174" s="12">
        <v>49.39</v>
      </c>
      <c r="D174" s="12">
        <v>0.2</v>
      </c>
      <c r="E174" s="12">
        <v>49.39</v>
      </c>
      <c r="F174" s="12" t="s">
        <v>5</v>
      </c>
      <c r="G174" s="12">
        <v>49.19</v>
      </c>
      <c r="H174" s="12" t="s">
        <v>1293</v>
      </c>
    </row>
    <row r="175" spans="2:8" x14ac:dyDescent="0.3">
      <c r="B175" s="12" t="s">
        <v>233</v>
      </c>
      <c r="C175" s="12">
        <v>49.63</v>
      </c>
      <c r="D175" s="12">
        <v>0.2</v>
      </c>
      <c r="E175" s="12">
        <v>49.63</v>
      </c>
      <c r="F175" s="12" t="s">
        <v>5</v>
      </c>
      <c r="G175" s="12">
        <v>48.7</v>
      </c>
      <c r="H175" s="12" t="s">
        <v>1195</v>
      </c>
    </row>
    <row r="176" spans="2:8" x14ac:dyDescent="0.3">
      <c r="B176" s="12" t="s">
        <v>235</v>
      </c>
      <c r="C176" s="12">
        <v>49.44</v>
      </c>
      <c r="D176" s="12">
        <v>0.2</v>
      </c>
      <c r="E176" s="12">
        <v>49.44</v>
      </c>
      <c r="F176" s="12" t="s">
        <v>5</v>
      </c>
      <c r="G176" s="12">
        <v>49.24</v>
      </c>
      <c r="H176" s="12" t="s">
        <v>1293</v>
      </c>
    </row>
    <row r="177" spans="2:8" x14ac:dyDescent="0.3">
      <c r="B177" s="12" t="s">
        <v>237</v>
      </c>
      <c r="C177" s="12">
        <v>50.71</v>
      </c>
      <c r="D177" s="12">
        <v>0.2</v>
      </c>
      <c r="E177" s="12">
        <v>50.71</v>
      </c>
      <c r="F177" s="12" t="s">
        <v>5</v>
      </c>
      <c r="G177" s="12">
        <v>50.51</v>
      </c>
      <c r="H177" s="12" t="s">
        <v>1293</v>
      </c>
    </row>
    <row r="178" spans="2:8" x14ac:dyDescent="0.3">
      <c r="B178" s="12" t="s">
        <v>239</v>
      </c>
      <c r="C178" s="12">
        <v>50.98</v>
      </c>
      <c r="D178" s="12">
        <v>0.2</v>
      </c>
      <c r="E178" s="4">
        <v>50.98</v>
      </c>
      <c r="F178" s="12" t="s">
        <v>5</v>
      </c>
      <c r="G178" s="12">
        <v>50.78</v>
      </c>
      <c r="H178" s="12" t="s">
        <v>1293</v>
      </c>
    </row>
    <row r="179" spans="2:8" x14ac:dyDescent="0.3">
      <c r="B179" s="12" t="s">
        <v>241</v>
      </c>
      <c r="C179" s="4">
        <v>51.7</v>
      </c>
      <c r="D179" s="12">
        <v>0.2</v>
      </c>
      <c r="E179" s="4">
        <v>51.7</v>
      </c>
      <c r="F179" s="12" t="s">
        <v>5</v>
      </c>
      <c r="G179" s="12">
        <v>50.73</v>
      </c>
      <c r="H179" s="12" t="s">
        <v>1195</v>
      </c>
    </row>
    <row r="180" spans="2:8" x14ac:dyDescent="0.3">
      <c r="B180" s="12" t="s">
        <v>243</v>
      </c>
      <c r="C180" s="4">
        <v>51.72</v>
      </c>
      <c r="D180" s="12">
        <v>0.2</v>
      </c>
      <c r="E180" s="4">
        <v>51.72</v>
      </c>
      <c r="F180" s="12" t="s">
        <v>5</v>
      </c>
      <c r="G180" s="12">
        <v>50.86</v>
      </c>
      <c r="H180" s="12" t="s">
        <v>1195</v>
      </c>
    </row>
    <row r="181" spans="2:8" x14ac:dyDescent="0.3">
      <c r="B181" s="12" t="s">
        <v>245</v>
      </c>
      <c r="C181" s="4">
        <v>52.31</v>
      </c>
      <c r="D181" s="12">
        <v>0.2</v>
      </c>
      <c r="E181" s="4">
        <v>52.31</v>
      </c>
      <c r="F181" s="12" t="s">
        <v>5</v>
      </c>
      <c r="G181" s="12">
        <v>50.91</v>
      </c>
      <c r="H181" s="12" t="s">
        <v>1195</v>
      </c>
    </row>
    <row r="182" spans="2:8" x14ac:dyDescent="0.3">
      <c r="B182" s="12" t="s">
        <v>247</v>
      </c>
      <c r="C182" s="4">
        <v>52.32</v>
      </c>
      <c r="D182" s="12">
        <v>0.2</v>
      </c>
      <c r="E182" s="4">
        <v>52.32</v>
      </c>
      <c r="F182" s="12" t="s">
        <v>5</v>
      </c>
      <c r="G182" s="12">
        <v>50.98</v>
      </c>
      <c r="H182" s="12" t="s">
        <v>1195</v>
      </c>
    </row>
    <row r="183" spans="2:8" x14ac:dyDescent="0.3">
      <c r="B183" s="12" t="s">
        <v>249</v>
      </c>
      <c r="C183" s="4">
        <v>52.83</v>
      </c>
      <c r="D183" s="12">
        <v>0.2</v>
      </c>
      <c r="E183" s="4">
        <v>52.83</v>
      </c>
      <c r="F183" s="12" t="s">
        <v>5</v>
      </c>
      <c r="G183" s="12">
        <v>51.09</v>
      </c>
      <c r="H183" s="12" t="s">
        <v>1195</v>
      </c>
    </row>
    <row r="184" spans="2:8" x14ac:dyDescent="0.3">
      <c r="B184" s="12" t="s">
        <v>251</v>
      </c>
      <c r="C184" s="4">
        <v>53.22</v>
      </c>
      <c r="D184" s="12">
        <v>0.2</v>
      </c>
      <c r="E184" s="4">
        <v>53.22</v>
      </c>
      <c r="F184" s="12" t="s">
        <v>5</v>
      </c>
      <c r="G184" s="12">
        <v>51.27</v>
      </c>
      <c r="H184" s="12" t="s">
        <v>1195</v>
      </c>
    </row>
    <row r="185" spans="2:8" x14ac:dyDescent="0.3">
      <c r="B185" s="12" t="s">
        <v>253</v>
      </c>
      <c r="C185" s="4">
        <v>52.83</v>
      </c>
      <c r="D185" s="12">
        <v>0.2</v>
      </c>
      <c r="E185" s="4">
        <v>52.83</v>
      </c>
      <c r="F185" s="12" t="s">
        <v>5</v>
      </c>
      <c r="G185" s="12">
        <v>51.1</v>
      </c>
      <c r="H185" s="12" t="s">
        <v>1195</v>
      </c>
    </row>
    <row r="186" spans="2:8" x14ac:dyDescent="0.3">
      <c r="B186" s="12" t="s">
        <v>255</v>
      </c>
      <c r="C186" s="4">
        <v>53.21</v>
      </c>
      <c r="D186" s="12">
        <v>0.2</v>
      </c>
      <c r="E186" s="4">
        <v>53.21</v>
      </c>
      <c r="F186" s="12" t="s">
        <v>5</v>
      </c>
      <c r="G186" s="12">
        <v>51.22</v>
      </c>
      <c r="H186" s="12" t="s">
        <v>1195</v>
      </c>
    </row>
    <row r="187" spans="2:8" x14ac:dyDescent="0.3">
      <c r="B187" s="12" t="s">
        <v>257</v>
      </c>
      <c r="C187" s="4">
        <v>53.46</v>
      </c>
      <c r="D187" s="12">
        <v>0.2</v>
      </c>
      <c r="E187" s="4">
        <v>53.46</v>
      </c>
      <c r="F187" s="12" t="s">
        <v>5</v>
      </c>
      <c r="G187" s="12">
        <v>51.33</v>
      </c>
      <c r="H187" s="12" t="s">
        <v>1195</v>
      </c>
    </row>
    <row r="188" spans="2:8" x14ac:dyDescent="0.3">
      <c r="B188" s="12" t="s">
        <v>259</v>
      </c>
      <c r="C188" s="4">
        <v>53.67</v>
      </c>
      <c r="D188" s="12">
        <v>0.2</v>
      </c>
      <c r="E188" s="4">
        <v>53.67</v>
      </c>
      <c r="F188" s="12" t="s">
        <v>5</v>
      </c>
      <c r="G188" s="12">
        <v>51.77</v>
      </c>
      <c r="H188" s="12" t="s">
        <v>1195</v>
      </c>
    </row>
    <row r="189" spans="2:8" x14ac:dyDescent="0.3">
      <c r="B189" s="12" t="s">
        <v>261</v>
      </c>
      <c r="C189" s="4">
        <v>53.68</v>
      </c>
      <c r="D189" s="12">
        <v>0.2</v>
      </c>
      <c r="E189" s="4">
        <v>53.68</v>
      </c>
      <c r="F189" s="12" t="s">
        <v>5</v>
      </c>
      <c r="G189" s="12">
        <v>51.75</v>
      </c>
      <c r="H189" s="12" t="s">
        <v>1195</v>
      </c>
    </row>
    <row r="190" spans="2:8" x14ac:dyDescent="0.3">
      <c r="B190" s="12" t="s">
        <v>263</v>
      </c>
      <c r="C190" s="4">
        <v>53.69</v>
      </c>
      <c r="D190" s="12">
        <v>0.2</v>
      </c>
      <c r="E190" s="4">
        <v>53.69</v>
      </c>
      <c r="F190" s="12" t="s">
        <v>5</v>
      </c>
      <c r="G190" s="12">
        <v>52.19</v>
      </c>
      <c r="H190" s="12" t="s">
        <v>1195</v>
      </c>
    </row>
    <row r="191" spans="2:8" x14ac:dyDescent="0.3">
      <c r="B191" s="12" t="s">
        <v>265</v>
      </c>
      <c r="C191" s="4">
        <v>53.31</v>
      </c>
      <c r="D191" s="12">
        <v>0.2</v>
      </c>
      <c r="E191" s="4">
        <v>53.31</v>
      </c>
      <c r="F191" s="12" t="s">
        <v>5</v>
      </c>
      <c r="G191" s="12">
        <v>53.11</v>
      </c>
      <c r="H191" s="12" t="s">
        <v>1293</v>
      </c>
    </row>
    <row r="192" spans="2:8" x14ac:dyDescent="0.3">
      <c r="B192" s="12" t="s">
        <v>267</v>
      </c>
      <c r="C192" s="4">
        <v>53.54</v>
      </c>
      <c r="D192" s="12">
        <v>0.2</v>
      </c>
      <c r="E192" s="4">
        <v>53.54</v>
      </c>
      <c r="F192" s="12" t="s">
        <v>5</v>
      </c>
      <c r="G192" s="12">
        <v>52.53</v>
      </c>
      <c r="H192" s="12" t="s">
        <v>1195</v>
      </c>
    </row>
    <row r="193" spans="2:8" x14ac:dyDescent="0.3">
      <c r="B193" s="12" t="s">
        <v>269</v>
      </c>
      <c r="C193" s="4">
        <v>53.54</v>
      </c>
      <c r="D193" s="12">
        <v>0.2</v>
      </c>
      <c r="E193" s="4">
        <v>53.54</v>
      </c>
      <c r="F193" s="12" t="s">
        <v>5</v>
      </c>
      <c r="G193" s="12">
        <v>52.57</v>
      </c>
      <c r="H193" s="12" t="s">
        <v>1195</v>
      </c>
    </row>
    <row r="194" spans="2:8" x14ac:dyDescent="0.3">
      <c r="B194" s="12" t="s">
        <v>271</v>
      </c>
      <c r="C194" s="4">
        <v>54.39</v>
      </c>
      <c r="D194" s="12">
        <v>0.2</v>
      </c>
      <c r="E194" s="4">
        <v>54.39</v>
      </c>
      <c r="F194" s="12" t="s">
        <v>5</v>
      </c>
      <c r="G194" s="12">
        <v>54.19</v>
      </c>
      <c r="H194" s="12" t="s">
        <v>1293</v>
      </c>
    </row>
    <row r="195" spans="2:8" x14ac:dyDescent="0.3">
      <c r="B195" s="12" t="s">
        <v>273</v>
      </c>
      <c r="C195" s="4">
        <v>55.26</v>
      </c>
      <c r="D195" s="12">
        <v>0.2</v>
      </c>
      <c r="E195" s="4">
        <v>55.26</v>
      </c>
      <c r="F195" s="12" t="s">
        <v>5</v>
      </c>
      <c r="G195" s="12">
        <v>54.39</v>
      </c>
      <c r="H195" s="12" t="s">
        <v>1195</v>
      </c>
    </row>
    <row r="196" spans="2:8" x14ac:dyDescent="0.3">
      <c r="B196" s="12" t="s">
        <v>275</v>
      </c>
      <c r="C196" s="4">
        <v>55.67</v>
      </c>
      <c r="D196" s="12">
        <v>0.2</v>
      </c>
      <c r="E196" s="4">
        <v>55.67</v>
      </c>
      <c r="F196" s="12" t="s">
        <v>5</v>
      </c>
      <c r="G196" s="12">
        <v>54.57</v>
      </c>
      <c r="H196" s="12" t="s">
        <v>1195</v>
      </c>
    </row>
    <row r="197" spans="2:8" x14ac:dyDescent="0.3">
      <c r="B197" s="12" t="s">
        <v>277</v>
      </c>
      <c r="C197" s="4">
        <v>56.06</v>
      </c>
      <c r="D197" s="12">
        <v>0.2</v>
      </c>
      <c r="E197" s="4">
        <v>56.06</v>
      </c>
      <c r="F197" s="12" t="s">
        <v>5</v>
      </c>
      <c r="G197" s="12">
        <v>54.83</v>
      </c>
      <c r="H197" s="12" t="s">
        <v>1195</v>
      </c>
    </row>
    <row r="198" spans="2:8" x14ac:dyDescent="0.3">
      <c r="B198" s="12" t="s">
        <v>279</v>
      </c>
      <c r="C198" s="4">
        <v>56.48</v>
      </c>
      <c r="D198" s="12">
        <v>0.2</v>
      </c>
      <c r="E198" s="4">
        <v>56.48</v>
      </c>
      <c r="F198" s="12" t="s">
        <v>5</v>
      </c>
      <c r="G198" s="12">
        <v>55.09</v>
      </c>
      <c r="H198" s="12" t="s">
        <v>1195</v>
      </c>
    </row>
    <row r="199" spans="2:8" x14ac:dyDescent="0.3">
      <c r="B199" s="12" t="s">
        <v>281</v>
      </c>
      <c r="C199" s="4">
        <v>56.87</v>
      </c>
      <c r="D199" s="12">
        <v>0.2</v>
      </c>
      <c r="E199" s="4">
        <v>56.87</v>
      </c>
      <c r="F199" s="12" t="s">
        <v>5</v>
      </c>
      <c r="G199" s="12">
        <v>55.35</v>
      </c>
      <c r="H199" s="12" t="s">
        <v>1195</v>
      </c>
    </row>
    <row r="200" spans="2:8" x14ac:dyDescent="0.3">
      <c r="B200" s="12" t="s">
        <v>283</v>
      </c>
      <c r="C200" s="4">
        <v>57.28</v>
      </c>
      <c r="D200" s="12">
        <v>0.2</v>
      </c>
      <c r="E200" s="4">
        <v>57.28</v>
      </c>
      <c r="F200" s="12" t="s">
        <v>5</v>
      </c>
      <c r="G200" s="12">
        <v>55.61</v>
      </c>
      <c r="H200" s="12" t="s">
        <v>1195</v>
      </c>
    </row>
    <row r="201" spans="2:8" x14ac:dyDescent="0.3">
      <c r="B201" s="12" t="s">
        <v>285</v>
      </c>
      <c r="C201" s="4">
        <v>58.07</v>
      </c>
      <c r="D201" s="12">
        <v>0.2</v>
      </c>
      <c r="E201" s="4">
        <v>58.07</v>
      </c>
      <c r="F201" s="12" t="s">
        <v>5</v>
      </c>
      <c r="G201" s="12">
        <v>56.56</v>
      </c>
      <c r="H201" s="12" t="s">
        <v>1195</v>
      </c>
    </row>
    <row r="202" spans="2:8" x14ac:dyDescent="0.3">
      <c r="B202" s="12" t="s">
        <v>287</v>
      </c>
      <c r="C202" s="4">
        <v>58.71</v>
      </c>
      <c r="D202" s="12">
        <v>0.2</v>
      </c>
      <c r="E202" s="4">
        <v>58.71</v>
      </c>
      <c r="F202" s="12" t="s">
        <v>5</v>
      </c>
      <c r="G202" s="12">
        <v>57.47</v>
      </c>
      <c r="H202" s="12" t="s">
        <v>1195</v>
      </c>
    </row>
    <row r="203" spans="2:8" x14ac:dyDescent="0.3">
      <c r="B203" s="12" t="s">
        <v>289</v>
      </c>
      <c r="C203" s="4">
        <v>58.73</v>
      </c>
      <c r="D203" s="12">
        <v>0.2</v>
      </c>
      <c r="E203" s="4">
        <v>58.73</v>
      </c>
      <c r="F203" s="12" t="s">
        <v>5</v>
      </c>
      <c r="G203" s="12">
        <v>57.27</v>
      </c>
      <c r="H203" s="12" t="s">
        <v>1195</v>
      </c>
    </row>
    <row r="204" spans="2:8" x14ac:dyDescent="0.3">
      <c r="B204" s="12" t="s">
        <v>291</v>
      </c>
      <c r="C204" s="4">
        <v>58.82</v>
      </c>
      <c r="D204" s="12">
        <v>0.2</v>
      </c>
      <c r="E204" s="4">
        <v>58.82</v>
      </c>
      <c r="F204" s="12" t="s">
        <v>5</v>
      </c>
      <c r="G204" s="12">
        <v>57.18</v>
      </c>
      <c r="H204" s="12" t="s">
        <v>1195</v>
      </c>
    </row>
    <row r="205" spans="2:8" x14ac:dyDescent="0.3">
      <c r="B205" s="12" t="s">
        <v>293</v>
      </c>
      <c r="C205" s="4">
        <v>58.34</v>
      </c>
      <c r="D205" s="12">
        <v>0.2</v>
      </c>
      <c r="E205" s="4">
        <v>58.34</v>
      </c>
      <c r="F205" s="12" t="s">
        <v>5</v>
      </c>
      <c r="G205" s="12">
        <v>58.14</v>
      </c>
      <c r="H205" s="12" t="s">
        <v>1293</v>
      </c>
    </row>
    <row r="206" spans="2:8" x14ac:dyDescent="0.3">
      <c r="B206" s="12" t="s">
        <v>295</v>
      </c>
      <c r="C206" s="4">
        <v>58.82</v>
      </c>
      <c r="D206" s="12">
        <v>0.2</v>
      </c>
      <c r="E206" s="4">
        <v>58.82</v>
      </c>
      <c r="F206" s="12" t="s">
        <v>5</v>
      </c>
      <c r="G206" s="12">
        <v>57.96</v>
      </c>
      <c r="H206" s="12" t="s">
        <v>1195</v>
      </c>
    </row>
    <row r="207" spans="2:8" x14ac:dyDescent="0.3">
      <c r="B207" s="12" t="s">
        <v>297</v>
      </c>
      <c r="C207" s="4">
        <v>58.98</v>
      </c>
      <c r="D207" s="12">
        <v>0.2</v>
      </c>
      <c r="E207" s="4">
        <v>58.98</v>
      </c>
      <c r="F207" s="12" t="s">
        <v>5</v>
      </c>
      <c r="G207" s="12">
        <v>57.09</v>
      </c>
      <c r="H207" s="12" t="s">
        <v>1195</v>
      </c>
    </row>
    <row r="208" spans="2:8" x14ac:dyDescent="0.3">
      <c r="B208" s="12" t="s">
        <v>299</v>
      </c>
      <c r="C208" s="4">
        <v>58.99</v>
      </c>
      <c r="D208" s="12">
        <v>0.2</v>
      </c>
      <c r="E208" s="4">
        <v>58.99</v>
      </c>
      <c r="F208" s="12" t="s">
        <v>5</v>
      </c>
      <c r="G208" s="12">
        <v>57.78</v>
      </c>
      <c r="H208" s="12" t="s">
        <v>1195</v>
      </c>
    </row>
    <row r="209" spans="2:8" x14ac:dyDescent="0.3">
      <c r="B209" s="12" t="s">
        <v>301</v>
      </c>
      <c r="C209" s="4">
        <v>59.21</v>
      </c>
      <c r="D209" s="12">
        <v>0.2</v>
      </c>
      <c r="E209" s="4">
        <v>59.21</v>
      </c>
      <c r="F209" s="12" t="s">
        <v>5</v>
      </c>
      <c r="G209" s="12">
        <v>57</v>
      </c>
      <c r="H209" s="12" t="s">
        <v>1195</v>
      </c>
    </row>
    <row r="210" spans="2:8" x14ac:dyDescent="0.3">
      <c r="B210" s="12" t="s">
        <v>303</v>
      </c>
      <c r="C210" s="4">
        <v>59.21</v>
      </c>
      <c r="D210" s="12">
        <v>0.2</v>
      </c>
      <c r="E210" s="4">
        <v>59.21</v>
      </c>
      <c r="F210" s="12" t="s">
        <v>5</v>
      </c>
      <c r="G210" s="12">
        <v>57.6</v>
      </c>
      <c r="H210" s="12" t="s">
        <v>1195</v>
      </c>
    </row>
    <row r="211" spans="2:8" x14ac:dyDescent="0.3">
      <c r="B211" s="12" t="s">
        <v>305</v>
      </c>
      <c r="C211" s="4">
        <v>59.31</v>
      </c>
      <c r="D211" s="12">
        <v>0.2</v>
      </c>
      <c r="E211" s="4">
        <v>59.31</v>
      </c>
      <c r="F211" s="12" t="s">
        <v>5</v>
      </c>
      <c r="G211" s="12">
        <v>56.92</v>
      </c>
      <c r="H211" s="12" t="s">
        <v>1195</v>
      </c>
    </row>
    <row r="212" spans="2:8" x14ac:dyDescent="0.3">
      <c r="B212" s="12" t="s">
        <v>307</v>
      </c>
      <c r="C212" s="4">
        <v>59.35</v>
      </c>
      <c r="D212" s="12">
        <v>0.2</v>
      </c>
      <c r="E212" s="4">
        <v>59.35</v>
      </c>
      <c r="F212" s="12" t="s">
        <v>5</v>
      </c>
      <c r="G212" s="12">
        <v>57.42</v>
      </c>
      <c r="H212" s="12" t="s">
        <v>1195</v>
      </c>
    </row>
    <row r="213" spans="2:8" x14ac:dyDescent="0.3">
      <c r="B213" s="12" t="s">
        <v>309</v>
      </c>
      <c r="C213" s="4">
        <v>59.21</v>
      </c>
      <c r="D213" s="12">
        <v>0.2</v>
      </c>
      <c r="E213" s="4">
        <v>59.21</v>
      </c>
      <c r="F213" s="12" t="s">
        <v>5</v>
      </c>
      <c r="G213" s="12">
        <v>57.56</v>
      </c>
      <c r="H213" s="12" t="s">
        <v>1195</v>
      </c>
    </row>
    <row r="214" spans="2:8" x14ac:dyDescent="0.3">
      <c r="B214" s="12" t="s">
        <v>311</v>
      </c>
      <c r="C214" s="4">
        <v>59.2</v>
      </c>
      <c r="D214" s="12">
        <v>0.2</v>
      </c>
      <c r="E214" s="4">
        <v>59.2</v>
      </c>
      <c r="F214" s="12" t="s">
        <v>5</v>
      </c>
      <c r="G214" s="12">
        <v>57.56</v>
      </c>
      <c r="H214" s="12" t="s">
        <v>1195</v>
      </c>
    </row>
    <row r="215" spans="2:8" x14ac:dyDescent="0.3">
      <c r="B215" s="12" t="s">
        <v>313</v>
      </c>
      <c r="C215" s="4">
        <v>58.96</v>
      </c>
      <c r="D215" s="12">
        <v>0.2</v>
      </c>
      <c r="E215" s="4">
        <v>58.96</v>
      </c>
      <c r="F215" s="12" t="s">
        <v>5</v>
      </c>
      <c r="G215" s="12">
        <v>57.62</v>
      </c>
      <c r="H215" s="12" t="s">
        <v>1195</v>
      </c>
    </row>
    <row r="216" spans="2:8" x14ac:dyDescent="0.3">
      <c r="B216" s="12" t="s">
        <v>315</v>
      </c>
      <c r="C216" s="4">
        <v>58.95</v>
      </c>
      <c r="D216" s="12">
        <v>0.2</v>
      </c>
      <c r="E216" s="4">
        <v>58.95</v>
      </c>
      <c r="F216" s="12" t="s">
        <v>5</v>
      </c>
      <c r="G216" s="12">
        <v>57.62</v>
      </c>
      <c r="H216" s="12" t="s">
        <v>1195</v>
      </c>
    </row>
    <row r="217" spans="2:8" x14ac:dyDescent="0.3">
      <c r="B217" s="12" t="s">
        <v>317</v>
      </c>
      <c r="C217" s="4">
        <v>58.61</v>
      </c>
      <c r="D217" s="12">
        <v>0.2</v>
      </c>
      <c r="E217" s="4">
        <v>58.61</v>
      </c>
      <c r="F217" s="12" t="s">
        <v>5</v>
      </c>
      <c r="G217" s="12">
        <v>57.68</v>
      </c>
      <c r="H217" s="12" t="s">
        <v>1195</v>
      </c>
    </row>
    <row r="218" spans="2:8" x14ac:dyDescent="0.3">
      <c r="B218" s="12" t="s">
        <v>319</v>
      </c>
      <c r="C218" s="4">
        <v>58.61</v>
      </c>
      <c r="D218" s="12">
        <v>0.2</v>
      </c>
      <c r="E218" s="4">
        <v>58.61</v>
      </c>
      <c r="F218" s="12" t="s">
        <v>5</v>
      </c>
      <c r="G218" s="12">
        <v>57.68</v>
      </c>
      <c r="H218" s="12" t="s">
        <v>1195</v>
      </c>
    </row>
    <row r="219" spans="2:8" x14ac:dyDescent="0.3">
      <c r="B219" s="12" t="s">
        <v>321</v>
      </c>
      <c r="C219" s="12">
        <v>57.95</v>
      </c>
      <c r="D219" s="12">
        <v>0.2</v>
      </c>
      <c r="E219" s="4">
        <v>57.95</v>
      </c>
      <c r="F219" s="12" t="s">
        <v>5</v>
      </c>
      <c r="G219" s="12">
        <v>57.75</v>
      </c>
      <c r="H219" s="12" t="s">
        <v>1293</v>
      </c>
    </row>
    <row r="220" spans="2:8" x14ac:dyDescent="0.3">
      <c r="B220" s="12" t="s">
        <v>323</v>
      </c>
      <c r="C220" s="12">
        <v>57.97</v>
      </c>
      <c r="D220" s="12">
        <v>0.2</v>
      </c>
      <c r="E220" s="4">
        <v>57.97</v>
      </c>
      <c r="F220" s="12" t="s">
        <v>5</v>
      </c>
      <c r="G220" s="12">
        <v>57.77</v>
      </c>
      <c r="H220" s="12" t="s">
        <v>1293</v>
      </c>
    </row>
    <row r="221" spans="2:8" x14ac:dyDescent="0.3">
      <c r="B221" s="12" t="s">
        <v>325</v>
      </c>
      <c r="C221" s="4">
        <v>63.52</v>
      </c>
      <c r="D221" s="12">
        <v>0.2</v>
      </c>
      <c r="E221" s="4">
        <v>63.52</v>
      </c>
      <c r="F221" s="12" t="s">
        <v>5</v>
      </c>
      <c r="G221" s="12">
        <v>62.25</v>
      </c>
      <c r="H221" s="12" t="s">
        <v>1195</v>
      </c>
    </row>
    <row r="222" spans="2:8" x14ac:dyDescent="0.3">
      <c r="B222" s="12" t="s">
        <v>327</v>
      </c>
      <c r="C222" s="4">
        <v>65.86</v>
      </c>
      <c r="D222" s="12">
        <v>0.2</v>
      </c>
      <c r="E222" s="4">
        <v>65.86</v>
      </c>
      <c r="F222" s="12" t="s">
        <v>5</v>
      </c>
      <c r="G222" s="12">
        <v>63.58</v>
      </c>
      <c r="H222" s="12" t="s">
        <v>1195</v>
      </c>
    </row>
    <row r="223" spans="2:8" x14ac:dyDescent="0.3">
      <c r="B223" s="12" t="s">
        <v>329</v>
      </c>
      <c r="C223" s="4">
        <v>66.34</v>
      </c>
      <c r="D223" s="12">
        <v>0.2</v>
      </c>
      <c r="E223" s="4">
        <v>66.34</v>
      </c>
      <c r="F223" s="12" t="s">
        <v>5</v>
      </c>
      <c r="G223" s="12">
        <v>64.400000000000006</v>
      </c>
      <c r="H223" s="12" t="s">
        <v>1195</v>
      </c>
    </row>
    <row r="224" spans="2:8" x14ac:dyDescent="0.3">
      <c r="B224" s="12" t="s">
        <v>331</v>
      </c>
      <c r="C224" s="4">
        <v>67.16</v>
      </c>
      <c r="D224" s="12">
        <v>0.2</v>
      </c>
      <c r="E224" s="4">
        <v>67.16</v>
      </c>
      <c r="F224" s="12" t="s">
        <v>5</v>
      </c>
      <c r="G224" s="12">
        <v>64.41</v>
      </c>
      <c r="H224" s="12" t="s">
        <v>1195</v>
      </c>
    </row>
    <row r="225" spans="2:8" x14ac:dyDescent="0.3">
      <c r="B225" s="12" t="s">
        <v>333</v>
      </c>
      <c r="C225" s="4">
        <v>67.34</v>
      </c>
      <c r="D225" s="12">
        <v>0.2</v>
      </c>
      <c r="E225" s="4">
        <v>67.34</v>
      </c>
      <c r="F225" s="12" t="s">
        <v>5</v>
      </c>
      <c r="G225" s="12">
        <v>64.930000000000007</v>
      </c>
      <c r="H225" s="12" t="s">
        <v>1195</v>
      </c>
    </row>
    <row r="226" spans="2:8" x14ac:dyDescent="0.3">
      <c r="B226" s="12" t="s">
        <v>335</v>
      </c>
      <c r="C226" s="4">
        <v>68.849999999999994</v>
      </c>
      <c r="D226" s="12">
        <v>0.2</v>
      </c>
      <c r="E226" s="4">
        <v>68.849999999999994</v>
      </c>
      <c r="F226" s="12" t="s">
        <v>5</v>
      </c>
      <c r="G226" s="12">
        <v>65.69</v>
      </c>
      <c r="H226" s="12" t="s">
        <v>1195</v>
      </c>
    </row>
    <row r="227" spans="2:8" x14ac:dyDescent="0.3">
      <c r="B227" s="12" t="s">
        <v>337</v>
      </c>
      <c r="C227" s="4">
        <v>68.849999999999994</v>
      </c>
      <c r="D227" s="12">
        <v>0.2</v>
      </c>
      <c r="E227" s="4">
        <v>68.849999999999994</v>
      </c>
      <c r="F227" s="12" t="s">
        <v>5</v>
      </c>
      <c r="G227" s="12">
        <v>66.67</v>
      </c>
      <c r="H227" s="12" t="s">
        <v>1195</v>
      </c>
    </row>
    <row r="228" spans="2:8" x14ac:dyDescent="0.3">
      <c r="B228" s="12" t="s">
        <v>339</v>
      </c>
      <c r="C228" s="4">
        <v>70.36</v>
      </c>
      <c r="D228" s="12">
        <v>0.2</v>
      </c>
      <c r="E228" s="4">
        <v>70.36</v>
      </c>
      <c r="F228" s="12" t="s">
        <v>5</v>
      </c>
      <c r="G228" s="12">
        <v>66.69</v>
      </c>
      <c r="H228" s="12" t="s">
        <v>1195</v>
      </c>
    </row>
    <row r="229" spans="2:8" x14ac:dyDescent="0.3">
      <c r="B229" s="12" t="s">
        <v>341</v>
      </c>
      <c r="C229" s="4">
        <v>70.36</v>
      </c>
      <c r="D229" s="12">
        <v>0.2</v>
      </c>
      <c r="E229" s="4">
        <v>70.36</v>
      </c>
      <c r="F229" s="12" t="s">
        <v>5</v>
      </c>
      <c r="G229" s="12">
        <v>67.89</v>
      </c>
      <c r="H229" s="12" t="s">
        <v>1195</v>
      </c>
    </row>
    <row r="230" spans="2:8" x14ac:dyDescent="0.3">
      <c r="B230" s="12" t="s">
        <v>343</v>
      </c>
      <c r="C230" s="4">
        <v>71.849999999999994</v>
      </c>
      <c r="D230" s="12">
        <v>0.2</v>
      </c>
      <c r="E230" s="4">
        <v>71.849999999999994</v>
      </c>
      <c r="F230" s="12" t="s">
        <v>5</v>
      </c>
      <c r="G230" s="12">
        <v>67.63</v>
      </c>
      <c r="H230" s="12" t="s">
        <v>1195</v>
      </c>
    </row>
    <row r="231" spans="2:8" x14ac:dyDescent="0.3">
      <c r="B231" s="12" t="s">
        <v>345</v>
      </c>
      <c r="C231" s="4">
        <v>71.94</v>
      </c>
      <c r="D231" s="12">
        <v>0.2</v>
      </c>
      <c r="E231" s="4">
        <v>71.94</v>
      </c>
      <c r="F231" s="12" t="s">
        <v>5</v>
      </c>
      <c r="G231" s="12">
        <v>69.040000000000006</v>
      </c>
      <c r="H231" s="12" t="s">
        <v>1195</v>
      </c>
    </row>
    <row r="232" spans="2:8" x14ac:dyDescent="0.3">
      <c r="B232" s="12" t="s">
        <v>347</v>
      </c>
      <c r="C232" s="4">
        <v>73.19</v>
      </c>
      <c r="D232" s="12">
        <v>0.2</v>
      </c>
      <c r="E232" s="4">
        <v>73.19</v>
      </c>
      <c r="F232" s="12" t="s">
        <v>5</v>
      </c>
      <c r="G232" s="12">
        <v>69.48</v>
      </c>
      <c r="H232" s="12" t="s">
        <v>1195</v>
      </c>
    </row>
    <row r="233" spans="2:8" x14ac:dyDescent="0.3">
      <c r="B233" s="12" t="s">
        <v>349</v>
      </c>
      <c r="C233" s="4">
        <v>73.180000000000007</v>
      </c>
      <c r="D233" s="12">
        <v>0.2</v>
      </c>
      <c r="E233" s="4">
        <v>73.180000000000007</v>
      </c>
      <c r="F233" s="12" t="s">
        <v>5</v>
      </c>
      <c r="G233" s="12">
        <v>70.430000000000007</v>
      </c>
      <c r="H233" s="12" t="s">
        <v>1195</v>
      </c>
    </row>
    <row r="234" spans="2:8" x14ac:dyDescent="0.3">
      <c r="B234" s="12" t="s">
        <v>351</v>
      </c>
      <c r="C234" s="12">
        <v>89.05</v>
      </c>
      <c r="D234" s="12">
        <v>0.2</v>
      </c>
      <c r="E234" s="12">
        <v>89.05</v>
      </c>
      <c r="F234" s="12" t="s">
        <v>5</v>
      </c>
      <c r="G234" s="12">
        <v>88.95</v>
      </c>
      <c r="H234" s="12" t="s">
        <v>1293</v>
      </c>
    </row>
    <row r="235" spans="2:8" x14ac:dyDescent="0.3">
      <c r="B235" s="12" t="s">
        <v>353</v>
      </c>
      <c r="C235" s="12">
        <v>88.96</v>
      </c>
      <c r="D235" s="12">
        <v>0.2</v>
      </c>
      <c r="E235" s="12">
        <v>88.96</v>
      </c>
      <c r="F235" s="12" t="s">
        <v>5</v>
      </c>
      <c r="G235" s="12">
        <v>88.76</v>
      </c>
      <c r="H235" s="12" t="s">
        <v>1293</v>
      </c>
    </row>
    <row r="236" spans="2:8" x14ac:dyDescent="0.3">
      <c r="B236" s="12" t="s">
        <v>355</v>
      </c>
      <c r="C236" s="12">
        <v>88</v>
      </c>
      <c r="D236" s="12">
        <v>0.2</v>
      </c>
      <c r="E236" s="12">
        <v>88</v>
      </c>
      <c r="F236" s="12" t="s">
        <v>5</v>
      </c>
      <c r="G236" s="12">
        <v>87.79</v>
      </c>
      <c r="H236" s="12" t="s">
        <v>1293</v>
      </c>
    </row>
    <row r="237" spans="2:8" x14ac:dyDescent="0.3">
      <c r="B237" s="12" t="s">
        <v>357</v>
      </c>
      <c r="C237" s="12">
        <v>86.97</v>
      </c>
      <c r="D237" s="12">
        <v>0.2</v>
      </c>
      <c r="E237" s="12">
        <v>86.97</v>
      </c>
      <c r="F237" s="12" t="s">
        <v>5</v>
      </c>
      <c r="G237" s="12">
        <v>86.77</v>
      </c>
      <c r="H237" s="12" t="s">
        <v>1293</v>
      </c>
    </row>
    <row r="238" spans="2:8" x14ac:dyDescent="0.3">
      <c r="B238" s="12" t="s">
        <v>359</v>
      </c>
      <c r="C238" s="12">
        <v>86.98</v>
      </c>
      <c r="D238" s="12">
        <v>0.2</v>
      </c>
      <c r="E238" s="12">
        <v>86.98</v>
      </c>
      <c r="F238" s="12" t="s">
        <v>5</v>
      </c>
      <c r="G238" s="12">
        <v>86.78</v>
      </c>
      <c r="H238" s="12" t="s">
        <v>1293</v>
      </c>
    </row>
    <row r="239" spans="2:8" x14ac:dyDescent="0.3">
      <c r="B239" s="12" t="s">
        <v>361</v>
      </c>
      <c r="C239" s="12">
        <v>87.04</v>
      </c>
      <c r="D239" s="12">
        <v>0.2</v>
      </c>
      <c r="E239" s="12">
        <v>87.04</v>
      </c>
      <c r="F239" s="12" t="s">
        <v>5</v>
      </c>
      <c r="G239" s="12">
        <v>86.84</v>
      </c>
      <c r="H239" s="12" t="s">
        <v>1293</v>
      </c>
    </row>
    <row r="240" spans="2:8" x14ac:dyDescent="0.3">
      <c r="B240" s="12" t="s">
        <v>363</v>
      </c>
      <c r="C240" s="4">
        <v>88.21</v>
      </c>
      <c r="D240" s="12">
        <v>0.2</v>
      </c>
      <c r="E240" s="4">
        <v>88.21</v>
      </c>
      <c r="F240" s="12" t="s">
        <v>5</v>
      </c>
      <c r="G240" s="12">
        <v>86.9</v>
      </c>
      <c r="H240" s="12" t="s">
        <v>1195</v>
      </c>
    </row>
    <row r="241" spans="2:8" x14ac:dyDescent="0.3">
      <c r="B241" s="12" t="s">
        <v>365</v>
      </c>
      <c r="C241" s="4">
        <v>88.89</v>
      </c>
      <c r="D241" s="12">
        <v>0.2</v>
      </c>
      <c r="E241" s="4">
        <v>88.89</v>
      </c>
      <c r="F241" s="12" t="s">
        <v>5</v>
      </c>
      <c r="G241" s="12">
        <v>86.96</v>
      </c>
      <c r="H241" s="12" t="s">
        <v>1195</v>
      </c>
    </row>
    <row r="242" spans="2:8" x14ac:dyDescent="0.3">
      <c r="B242" s="12" t="s">
        <v>367</v>
      </c>
      <c r="C242" s="4">
        <v>88.57</v>
      </c>
      <c r="D242" s="12">
        <v>0.2</v>
      </c>
      <c r="E242" s="4">
        <v>88.57</v>
      </c>
      <c r="F242" s="12" t="s">
        <v>5</v>
      </c>
      <c r="G242" s="12">
        <v>85.47</v>
      </c>
      <c r="H242" s="12" t="s">
        <v>1195</v>
      </c>
    </row>
    <row r="243" spans="2:8" x14ac:dyDescent="0.3">
      <c r="B243" s="12" t="s">
        <v>369</v>
      </c>
      <c r="C243" s="4">
        <v>87.51</v>
      </c>
      <c r="D243" s="12">
        <v>0.2</v>
      </c>
      <c r="E243" s="4">
        <v>87.51</v>
      </c>
      <c r="F243" s="12" t="s">
        <v>5</v>
      </c>
      <c r="G243" s="12">
        <v>84.88</v>
      </c>
      <c r="H243" s="12" t="s">
        <v>1195</v>
      </c>
    </row>
    <row r="244" spans="2:8" x14ac:dyDescent="0.3">
      <c r="B244" s="12" t="s">
        <v>371</v>
      </c>
      <c r="C244" s="4">
        <v>86.19</v>
      </c>
      <c r="D244" s="12">
        <v>0.2</v>
      </c>
      <c r="E244" s="4">
        <v>86.19</v>
      </c>
      <c r="F244" s="12" t="s">
        <v>5</v>
      </c>
      <c r="G244" s="12">
        <v>84.43</v>
      </c>
      <c r="H244" s="12" t="s">
        <v>1195</v>
      </c>
    </row>
    <row r="245" spans="2:8" x14ac:dyDescent="0.3">
      <c r="B245" s="12" t="s">
        <v>373</v>
      </c>
      <c r="C245" s="4">
        <v>84.87</v>
      </c>
      <c r="D245" s="12">
        <v>0.2</v>
      </c>
      <c r="E245" s="4">
        <v>84.87</v>
      </c>
      <c r="F245" s="12" t="s">
        <v>5</v>
      </c>
      <c r="G245" s="12">
        <v>83.97</v>
      </c>
      <c r="H245" s="12" t="s">
        <v>1195</v>
      </c>
    </row>
    <row r="246" spans="2:8" x14ac:dyDescent="0.3">
      <c r="B246" s="12" t="s">
        <v>375</v>
      </c>
      <c r="C246" s="4">
        <v>83.72</v>
      </c>
      <c r="D246" s="12">
        <v>0.2</v>
      </c>
      <c r="E246" s="4">
        <v>83.72</v>
      </c>
      <c r="F246" s="12" t="s">
        <v>5</v>
      </c>
      <c r="G246" s="12">
        <v>83.52</v>
      </c>
      <c r="H246" s="12" t="s">
        <v>1293</v>
      </c>
    </row>
    <row r="247" spans="2:8" x14ac:dyDescent="0.3">
      <c r="B247" s="12" t="s">
        <v>377</v>
      </c>
      <c r="C247" s="4">
        <v>86.59</v>
      </c>
      <c r="D247" s="12">
        <v>0.2</v>
      </c>
      <c r="E247" s="4">
        <v>86.59</v>
      </c>
      <c r="F247" s="12" t="s">
        <v>5</v>
      </c>
      <c r="G247" s="12">
        <v>86.39</v>
      </c>
      <c r="H247" s="12" t="s">
        <v>1293</v>
      </c>
    </row>
    <row r="248" spans="2:8" x14ac:dyDescent="0.3">
      <c r="B248" s="12" t="s">
        <v>379</v>
      </c>
      <c r="C248" s="4">
        <v>86.66</v>
      </c>
      <c r="D248" s="12">
        <v>0.2</v>
      </c>
      <c r="E248" s="4">
        <v>86.66</v>
      </c>
      <c r="F248" s="12" t="s">
        <v>5</v>
      </c>
      <c r="G248" s="12">
        <v>86.46</v>
      </c>
      <c r="H248" s="12" t="s">
        <v>1293</v>
      </c>
    </row>
    <row r="249" spans="2:8" x14ac:dyDescent="0.3">
      <c r="B249" s="12" t="s">
        <v>381</v>
      </c>
      <c r="C249" s="4">
        <v>86.82</v>
      </c>
      <c r="D249" s="12">
        <v>0.2</v>
      </c>
      <c r="E249" s="4">
        <v>86.82</v>
      </c>
      <c r="F249" s="12" t="s">
        <v>5</v>
      </c>
      <c r="G249" s="12">
        <v>86.14</v>
      </c>
      <c r="H249" s="12" t="s">
        <v>1293</v>
      </c>
    </row>
    <row r="250" spans="2:8" x14ac:dyDescent="0.3">
      <c r="B250" s="12" t="s">
        <v>383</v>
      </c>
      <c r="C250" s="4">
        <v>86.85</v>
      </c>
      <c r="D250" s="12">
        <v>0.2</v>
      </c>
      <c r="E250" s="4">
        <v>86.85</v>
      </c>
      <c r="F250" s="12" t="s">
        <v>5</v>
      </c>
      <c r="G250" s="12">
        <v>85.97</v>
      </c>
      <c r="H250" s="12" t="s">
        <v>1195</v>
      </c>
    </row>
    <row r="251" spans="2:8" x14ac:dyDescent="0.3">
      <c r="B251" s="12" t="s">
        <v>385</v>
      </c>
      <c r="C251" s="4">
        <v>86.91</v>
      </c>
      <c r="D251" s="12">
        <v>0.2</v>
      </c>
      <c r="E251" s="4">
        <v>86.91</v>
      </c>
      <c r="F251" s="12" t="s">
        <v>5</v>
      </c>
      <c r="G251" s="12">
        <v>84.79</v>
      </c>
      <c r="H251" s="12" t="s">
        <v>1195</v>
      </c>
    </row>
    <row r="252" spans="2:8" x14ac:dyDescent="0.3">
      <c r="B252" s="12" t="s">
        <v>387</v>
      </c>
      <c r="C252" s="4">
        <v>86.91</v>
      </c>
      <c r="D252" s="12">
        <v>0.2</v>
      </c>
      <c r="E252" s="4">
        <v>86.91</v>
      </c>
      <c r="F252" s="12" t="s">
        <v>5</v>
      </c>
      <c r="G252" s="12">
        <v>84.72</v>
      </c>
      <c r="H252" s="12" t="s">
        <v>1195</v>
      </c>
    </row>
    <row r="253" spans="2:8" x14ac:dyDescent="0.3">
      <c r="B253" s="12" t="s">
        <v>389</v>
      </c>
      <c r="C253" s="4">
        <v>86.81</v>
      </c>
      <c r="D253" s="12">
        <v>0.2</v>
      </c>
      <c r="E253" s="4">
        <v>86.81</v>
      </c>
      <c r="F253" s="12" t="s">
        <v>5</v>
      </c>
      <c r="G253" s="12">
        <v>84.34</v>
      </c>
      <c r="H253" s="12" t="s">
        <v>1195</v>
      </c>
    </row>
    <row r="254" spans="2:8" x14ac:dyDescent="0.3">
      <c r="B254" s="12" t="s">
        <v>391</v>
      </c>
      <c r="C254" s="4">
        <v>86.8</v>
      </c>
      <c r="D254" s="12">
        <v>0.2</v>
      </c>
      <c r="E254" s="4">
        <v>86.8</v>
      </c>
      <c r="F254" s="12" t="s">
        <v>5</v>
      </c>
      <c r="G254" s="12">
        <v>84.3</v>
      </c>
      <c r="H254" s="12" t="s">
        <v>1195</v>
      </c>
    </row>
    <row r="255" spans="2:8" x14ac:dyDescent="0.3">
      <c r="B255" s="12" t="s">
        <v>393</v>
      </c>
      <c r="C255" s="4">
        <v>86.63</v>
      </c>
      <c r="D255" s="12">
        <v>0.2</v>
      </c>
      <c r="E255" s="4">
        <v>86.63</v>
      </c>
      <c r="F255" s="12" t="s">
        <v>5</v>
      </c>
      <c r="G255" s="12">
        <v>83.25</v>
      </c>
      <c r="H255" s="12" t="s">
        <v>1195</v>
      </c>
    </row>
    <row r="256" spans="2:8" x14ac:dyDescent="0.3">
      <c r="B256" s="12" t="s">
        <v>395</v>
      </c>
      <c r="C256" s="4">
        <v>86.62</v>
      </c>
      <c r="D256" s="12">
        <v>0.2</v>
      </c>
      <c r="E256" s="4">
        <v>86.62</v>
      </c>
      <c r="F256" s="12" t="s">
        <v>5</v>
      </c>
      <c r="G256" s="12">
        <v>83.23</v>
      </c>
      <c r="H256" s="12" t="s">
        <v>1195</v>
      </c>
    </row>
    <row r="257" spans="2:8" x14ac:dyDescent="0.3">
      <c r="B257" s="12" t="s">
        <v>397</v>
      </c>
      <c r="C257" s="4">
        <v>86.37</v>
      </c>
      <c r="D257" s="12">
        <v>0.2</v>
      </c>
      <c r="E257" s="4">
        <v>86.37</v>
      </c>
      <c r="F257" s="12" t="s">
        <v>5</v>
      </c>
      <c r="G257" s="12">
        <v>82.26</v>
      </c>
      <c r="H257" s="12" t="s">
        <v>1195</v>
      </c>
    </row>
    <row r="258" spans="2:8" x14ac:dyDescent="0.3">
      <c r="B258" s="12" t="s">
        <v>399</v>
      </c>
      <c r="C258" s="4">
        <v>86.37</v>
      </c>
      <c r="D258" s="12">
        <v>0.2</v>
      </c>
      <c r="E258" s="4">
        <v>86.37</v>
      </c>
      <c r="F258" s="12" t="s">
        <v>5</v>
      </c>
      <c r="G258" s="12">
        <v>82.32</v>
      </c>
      <c r="H258" s="12" t="s">
        <v>1195</v>
      </c>
    </row>
    <row r="259" spans="2:8" x14ac:dyDescent="0.3">
      <c r="B259" s="12" t="s">
        <v>400</v>
      </c>
      <c r="C259" s="4">
        <v>84.77</v>
      </c>
      <c r="D259" s="12">
        <v>0.2</v>
      </c>
      <c r="E259" s="4">
        <v>84.77</v>
      </c>
      <c r="F259" s="12" t="s">
        <v>5</v>
      </c>
      <c r="G259" s="12">
        <v>80.69</v>
      </c>
      <c r="H259" s="12" t="s">
        <v>1195</v>
      </c>
    </row>
    <row r="260" spans="2:8" x14ac:dyDescent="0.3">
      <c r="B260" s="12" t="s">
        <v>401</v>
      </c>
      <c r="C260" s="4">
        <v>84.75</v>
      </c>
      <c r="D260" s="12">
        <v>0.2</v>
      </c>
      <c r="E260" s="4">
        <v>84.75</v>
      </c>
      <c r="F260" s="12" t="s">
        <v>5</v>
      </c>
      <c r="G260" s="12">
        <v>79.83</v>
      </c>
      <c r="H260" s="12" t="s">
        <v>1195</v>
      </c>
    </row>
    <row r="261" spans="2:8" x14ac:dyDescent="0.3">
      <c r="B261" s="12" t="s">
        <v>403</v>
      </c>
      <c r="C261" s="4">
        <v>84.17</v>
      </c>
      <c r="D261" s="12">
        <v>0.2</v>
      </c>
      <c r="E261" s="4">
        <v>84.17</v>
      </c>
      <c r="F261" s="12" t="s">
        <v>5</v>
      </c>
      <c r="G261" s="12">
        <v>80.53</v>
      </c>
      <c r="H261" s="12" t="s">
        <v>1195</v>
      </c>
    </row>
    <row r="262" spans="2:8" x14ac:dyDescent="0.3">
      <c r="B262" s="12" t="s">
        <v>405</v>
      </c>
      <c r="C262" s="4">
        <v>84.18</v>
      </c>
      <c r="D262" s="12">
        <v>0.2</v>
      </c>
      <c r="E262" s="4">
        <v>84.18</v>
      </c>
      <c r="F262" s="12" t="s">
        <v>5</v>
      </c>
      <c r="G262" s="12">
        <v>79.510000000000005</v>
      </c>
      <c r="H262" s="12" t="s">
        <v>1195</v>
      </c>
    </row>
    <row r="263" spans="2:8" x14ac:dyDescent="0.3">
      <c r="B263" s="12" t="s">
        <v>407</v>
      </c>
      <c r="C263" s="4">
        <v>83.52</v>
      </c>
      <c r="D263" s="12">
        <v>0.2</v>
      </c>
      <c r="E263" s="4">
        <v>83.52</v>
      </c>
      <c r="F263" s="12" t="s">
        <v>5</v>
      </c>
      <c r="G263" s="12">
        <v>80.040000000000006</v>
      </c>
      <c r="H263" s="12" t="s">
        <v>1195</v>
      </c>
    </row>
    <row r="264" spans="2:8" x14ac:dyDescent="0.3">
      <c r="B264" s="12" t="s">
        <v>409</v>
      </c>
      <c r="C264" s="4">
        <v>83.51</v>
      </c>
      <c r="D264" s="12">
        <v>0.2</v>
      </c>
      <c r="E264" s="4">
        <v>83.51</v>
      </c>
      <c r="F264" s="12" t="s">
        <v>5</v>
      </c>
      <c r="G264" s="12">
        <v>78.94</v>
      </c>
      <c r="H264" s="12" t="s">
        <v>1195</v>
      </c>
    </row>
    <row r="265" spans="2:8" x14ac:dyDescent="0.3">
      <c r="B265" s="12" t="s">
        <v>411</v>
      </c>
      <c r="C265" s="4">
        <v>82.79</v>
      </c>
      <c r="D265" s="12">
        <v>0.2</v>
      </c>
      <c r="E265" s="4">
        <v>82.79</v>
      </c>
      <c r="F265" s="12" t="s">
        <v>5</v>
      </c>
      <c r="G265" s="12">
        <v>79.56</v>
      </c>
      <c r="H265" s="12" t="s">
        <v>1195</v>
      </c>
    </row>
    <row r="266" spans="2:8" x14ac:dyDescent="0.3">
      <c r="B266" s="12" t="s">
        <v>413</v>
      </c>
      <c r="C266" s="4">
        <v>82.78</v>
      </c>
      <c r="D266" s="12">
        <v>0.2</v>
      </c>
      <c r="E266" s="4">
        <v>82.78</v>
      </c>
      <c r="F266" s="12" t="s">
        <v>5</v>
      </c>
      <c r="G266" s="12">
        <v>78.36</v>
      </c>
      <c r="H266" s="12" t="s">
        <v>1195</v>
      </c>
    </row>
    <row r="267" spans="2:8" x14ac:dyDescent="0.3">
      <c r="B267" s="12" t="s">
        <v>415</v>
      </c>
      <c r="C267" s="4">
        <v>82</v>
      </c>
      <c r="D267" s="12">
        <v>0.2</v>
      </c>
      <c r="E267" s="4">
        <v>82</v>
      </c>
      <c r="F267" s="12" t="s">
        <v>5</v>
      </c>
      <c r="G267" s="12">
        <v>79.040000000000006</v>
      </c>
      <c r="H267" s="12" t="s">
        <v>1195</v>
      </c>
    </row>
    <row r="268" spans="2:8" x14ac:dyDescent="0.3">
      <c r="B268" s="12" t="s">
        <v>417</v>
      </c>
      <c r="C268" s="4">
        <v>81.99</v>
      </c>
      <c r="D268" s="12">
        <v>0.2</v>
      </c>
      <c r="E268" s="4">
        <v>81.99</v>
      </c>
      <c r="F268" s="12" t="s">
        <v>5</v>
      </c>
      <c r="G268" s="12">
        <v>77.790000000000006</v>
      </c>
      <c r="H268" s="12" t="s">
        <v>1195</v>
      </c>
    </row>
    <row r="269" spans="2:8" x14ac:dyDescent="0.3">
      <c r="B269" s="12" t="s">
        <v>419</v>
      </c>
      <c r="C269" s="4">
        <v>81.12</v>
      </c>
      <c r="D269" s="12">
        <v>0.2</v>
      </c>
      <c r="E269" s="4">
        <v>81.12</v>
      </c>
      <c r="F269" s="12" t="s">
        <v>5</v>
      </c>
      <c r="G269" s="12">
        <v>78.599999999999994</v>
      </c>
      <c r="H269" s="12" t="s">
        <v>1195</v>
      </c>
    </row>
    <row r="270" spans="2:8" x14ac:dyDescent="0.3">
      <c r="B270" s="12" t="s">
        <v>421</v>
      </c>
      <c r="C270" s="4">
        <v>81.13</v>
      </c>
      <c r="D270" s="12">
        <v>0.2</v>
      </c>
      <c r="E270" s="4">
        <v>81.13</v>
      </c>
      <c r="F270" s="12" t="s">
        <v>5</v>
      </c>
      <c r="G270" s="12">
        <v>77.23</v>
      </c>
      <c r="H270" s="12" t="s">
        <v>1195</v>
      </c>
    </row>
    <row r="271" spans="2:8" x14ac:dyDescent="0.3">
      <c r="B271" s="12" t="s">
        <v>423</v>
      </c>
      <c r="C271" s="4">
        <v>80.209999999999994</v>
      </c>
      <c r="D271" s="12">
        <v>0.2</v>
      </c>
      <c r="E271" s="4">
        <v>80.209999999999994</v>
      </c>
      <c r="F271" s="12" t="s">
        <v>5</v>
      </c>
      <c r="G271" s="12">
        <v>78.13</v>
      </c>
      <c r="H271" s="12" t="s">
        <v>1195</v>
      </c>
    </row>
    <row r="272" spans="2:8" x14ac:dyDescent="0.3">
      <c r="B272" s="12" t="s">
        <v>425</v>
      </c>
      <c r="C272" s="4">
        <v>80.2</v>
      </c>
      <c r="D272" s="12">
        <v>0.2</v>
      </c>
      <c r="E272" s="4">
        <v>80.2</v>
      </c>
      <c r="F272" s="12" t="s">
        <v>5</v>
      </c>
      <c r="G272" s="12">
        <v>76.66</v>
      </c>
      <c r="H272" s="12" t="s">
        <v>1195</v>
      </c>
    </row>
    <row r="273" spans="2:8" x14ac:dyDescent="0.3">
      <c r="B273" s="12" t="s">
        <v>427</v>
      </c>
      <c r="C273" s="4">
        <v>79.209999999999994</v>
      </c>
      <c r="D273" s="12">
        <v>0.2</v>
      </c>
      <c r="E273" s="4">
        <v>79.209999999999994</v>
      </c>
      <c r="F273" s="12" t="s">
        <v>5</v>
      </c>
      <c r="G273" s="12">
        <v>77.650000000000006</v>
      </c>
      <c r="H273" s="12" t="s">
        <v>1195</v>
      </c>
    </row>
    <row r="274" spans="2:8" x14ac:dyDescent="0.3">
      <c r="B274" s="12" t="s">
        <v>429</v>
      </c>
      <c r="C274" s="4">
        <v>79.19</v>
      </c>
      <c r="D274" s="12">
        <v>0.2</v>
      </c>
      <c r="E274" s="4">
        <v>79.19</v>
      </c>
      <c r="F274" s="12" t="s">
        <v>5</v>
      </c>
      <c r="G274" s="12">
        <v>76.09</v>
      </c>
      <c r="H274" s="12" t="s">
        <v>1195</v>
      </c>
    </row>
    <row r="275" spans="2:8" x14ac:dyDescent="0.3">
      <c r="B275" s="12" t="s">
        <v>431</v>
      </c>
      <c r="C275" s="4">
        <v>78.16</v>
      </c>
      <c r="D275" s="12">
        <v>0.2</v>
      </c>
      <c r="E275" s="4">
        <v>78.16</v>
      </c>
      <c r="F275" s="12" t="s">
        <v>5</v>
      </c>
      <c r="G275" s="12">
        <v>77.16</v>
      </c>
      <c r="H275" s="12" t="s">
        <v>1195</v>
      </c>
    </row>
    <row r="276" spans="2:8" x14ac:dyDescent="0.3">
      <c r="B276" s="12" t="s">
        <v>433</v>
      </c>
      <c r="C276" s="4">
        <v>78.14</v>
      </c>
      <c r="D276" s="12">
        <v>0.2</v>
      </c>
      <c r="E276" s="4">
        <v>78.14</v>
      </c>
      <c r="F276" s="12" t="s">
        <v>5</v>
      </c>
      <c r="G276" s="12">
        <v>75.73</v>
      </c>
      <c r="H276" s="12" t="s">
        <v>1195</v>
      </c>
    </row>
    <row r="277" spans="2:8" x14ac:dyDescent="0.3">
      <c r="B277" s="12" t="s">
        <v>435</v>
      </c>
      <c r="C277" s="12">
        <v>76.91</v>
      </c>
      <c r="D277" s="12">
        <v>0.2</v>
      </c>
      <c r="E277" s="4">
        <v>76.91</v>
      </c>
      <c r="F277" s="12" t="s">
        <v>5</v>
      </c>
      <c r="G277" s="12">
        <v>76.709999999999994</v>
      </c>
      <c r="H277" s="12" t="s">
        <v>1293</v>
      </c>
    </row>
    <row r="278" spans="2:8" x14ac:dyDescent="0.3">
      <c r="B278" s="12" t="s">
        <v>437</v>
      </c>
      <c r="C278" s="4">
        <v>77.099999999999994</v>
      </c>
      <c r="D278" s="12">
        <v>0.2</v>
      </c>
      <c r="E278" s="4">
        <v>77.099999999999994</v>
      </c>
      <c r="F278" s="12" t="s">
        <v>5</v>
      </c>
      <c r="G278" s="12">
        <v>75.430000000000007</v>
      </c>
      <c r="H278" s="12" t="s">
        <v>1195</v>
      </c>
    </row>
    <row r="279" spans="2:8" x14ac:dyDescent="0.3">
      <c r="B279" s="12" t="s">
        <v>439</v>
      </c>
      <c r="C279" s="12">
        <v>75.150000000000006</v>
      </c>
      <c r="D279" s="12">
        <v>0.2</v>
      </c>
      <c r="E279" s="4">
        <v>75.150000000000006</v>
      </c>
      <c r="F279" s="12" t="s">
        <v>5</v>
      </c>
      <c r="G279" s="12">
        <v>74.95</v>
      </c>
      <c r="H279" s="12" t="s">
        <v>1293</v>
      </c>
    </row>
    <row r="280" spans="2:8" x14ac:dyDescent="0.3">
      <c r="B280" s="12" t="s">
        <v>441</v>
      </c>
      <c r="C280" s="4">
        <v>57.67</v>
      </c>
      <c r="D280" s="12">
        <v>0.2</v>
      </c>
      <c r="E280" s="4">
        <v>57.67</v>
      </c>
      <c r="F280" s="12" t="s">
        <v>5</v>
      </c>
      <c r="G280" s="12">
        <v>56.55</v>
      </c>
      <c r="H280" s="12" t="s">
        <v>1195</v>
      </c>
    </row>
    <row r="281" spans="2:8" x14ac:dyDescent="0.3">
      <c r="B281" s="12" t="s">
        <v>443</v>
      </c>
      <c r="C281" s="4">
        <v>57.98</v>
      </c>
      <c r="D281" s="12">
        <v>0.2</v>
      </c>
      <c r="E281" s="4">
        <v>57.98</v>
      </c>
      <c r="F281" s="12" t="s">
        <v>5</v>
      </c>
      <c r="G281" s="12">
        <v>56.19</v>
      </c>
      <c r="H281" s="12" t="s">
        <v>1195</v>
      </c>
    </row>
    <row r="282" spans="2:8" x14ac:dyDescent="0.3">
      <c r="B282" s="12" t="s">
        <v>445</v>
      </c>
      <c r="C282" s="4">
        <v>56.5</v>
      </c>
      <c r="D282" s="12">
        <v>0.2</v>
      </c>
      <c r="E282" s="4">
        <v>56.5</v>
      </c>
      <c r="F282" s="12" t="s">
        <v>5</v>
      </c>
      <c r="G282" s="12">
        <v>55.06</v>
      </c>
      <c r="H282" s="12" t="s">
        <v>1195</v>
      </c>
    </row>
    <row r="283" spans="2:8" x14ac:dyDescent="0.3">
      <c r="B283" s="12" t="s">
        <v>447</v>
      </c>
      <c r="C283" s="4">
        <v>56.8</v>
      </c>
      <c r="D283" s="12">
        <v>0.2</v>
      </c>
      <c r="E283" s="4">
        <v>56.8</v>
      </c>
      <c r="F283" s="12" t="s">
        <v>5</v>
      </c>
      <c r="G283" s="12">
        <v>54.23</v>
      </c>
      <c r="H283" s="12" t="s">
        <v>1195</v>
      </c>
    </row>
    <row r="284" spans="2:8" x14ac:dyDescent="0.3">
      <c r="B284" s="12" t="s">
        <v>449</v>
      </c>
      <c r="C284" s="4">
        <v>55.19</v>
      </c>
      <c r="D284" s="12">
        <v>0.2</v>
      </c>
      <c r="E284" s="4">
        <v>55.19</v>
      </c>
      <c r="F284" s="12" t="s">
        <v>5</v>
      </c>
      <c r="G284" s="12">
        <v>53.53</v>
      </c>
      <c r="H284" s="12" t="s">
        <v>1195</v>
      </c>
    </row>
    <row r="285" spans="2:8" x14ac:dyDescent="0.3">
      <c r="B285" s="12" t="s">
        <v>451</v>
      </c>
      <c r="C285" s="4">
        <v>55.6</v>
      </c>
      <c r="D285" s="12">
        <v>0.2</v>
      </c>
      <c r="E285" s="4">
        <v>55.6</v>
      </c>
      <c r="F285" s="12" t="s">
        <v>5</v>
      </c>
      <c r="G285" s="12">
        <v>52.28</v>
      </c>
      <c r="H285" s="12" t="s">
        <v>1195</v>
      </c>
    </row>
    <row r="286" spans="2:8" x14ac:dyDescent="0.3">
      <c r="B286" s="12" t="s">
        <v>453</v>
      </c>
      <c r="C286" s="4">
        <v>54.56</v>
      </c>
      <c r="D286" s="12">
        <v>0.2</v>
      </c>
      <c r="E286" s="4">
        <v>54.56</v>
      </c>
      <c r="F286" s="12" t="s">
        <v>5</v>
      </c>
      <c r="G286" s="12">
        <v>51.11</v>
      </c>
      <c r="H286" s="12" t="s">
        <v>1195</v>
      </c>
    </row>
    <row r="287" spans="2:8" x14ac:dyDescent="0.3">
      <c r="B287" s="12" t="s">
        <v>455</v>
      </c>
      <c r="C287" s="4">
        <v>54.05</v>
      </c>
      <c r="D287" s="12">
        <v>0.2</v>
      </c>
      <c r="E287" s="4">
        <v>54.05</v>
      </c>
      <c r="F287" s="12" t="s">
        <v>5</v>
      </c>
      <c r="G287" s="12">
        <v>52.12</v>
      </c>
      <c r="H287" s="12" t="s">
        <v>1195</v>
      </c>
    </row>
    <row r="288" spans="2:8" x14ac:dyDescent="0.3">
      <c r="B288" s="12" t="s">
        <v>457</v>
      </c>
      <c r="C288" s="4">
        <v>53.79</v>
      </c>
      <c r="D288" s="12">
        <v>0.2</v>
      </c>
      <c r="E288" s="4">
        <v>53.79</v>
      </c>
      <c r="F288" s="12" t="s">
        <v>5</v>
      </c>
      <c r="G288" s="12">
        <v>50.41</v>
      </c>
      <c r="H288" s="12" t="s">
        <v>1195</v>
      </c>
    </row>
    <row r="289" spans="2:8" x14ac:dyDescent="0.3">
      <c r="B289" s="12" t="s">
        <v>459</v>
      </c>
      <c r="C289" s="4">
        <v>53.23</v>
      </c>
      <c r="D289" s="12">
        <v>0.2</v>
      </c>
      <c r="E289" s="4">
        <v>53.23</v>
      </c>
      <c r="F289" s="12" t="s">
        <v>5</v>
      </c>
      <c r="G289" s="12">
        <v>49.72</v>
      </c>
      <c r="H289" s="12" t="s">
        <v>1195</v>
      </c>
    </row>
    <row r="290" spans="2:8" x14ac:dyDescent="0.3">
      <c r="B290" s="12" t="s">
        <v>461</v>
      </c>
      <c r="C290" s="4">
        <v>52.35</v>
      </c>
      <c r="D290" s="12">
        <v>0.2</v>
      </c>
      <c r="E290" s="4">
        <v>52.35</v>
      </c>
      <c r="F290" s="12" t="s">
        <v>5</v>
      </c>
      <c r="G290" s="12">
        <v>49.03</v>
      </c>
      <c r="H290" s="12" t="s">
        <v>1195</v>
      </c>
    </row>
    <row r="291" spans="2:8" x14ac:dyDescent="0.3">
      <c r="B291" s="12" t="s">
        <v>463</v>
      </c>
      <c r="C291" s="4">
        <v>52.71</v>
      </c>
      <c r="D291" s="12">
        <v>0.2</v>
      </c>
      <c r="E291" s="4">
        <v>52.71</v>
      </c>
      <c r="F291" s="12" t="s">
        <v>5</v>
      </c>
      <c r="G291" s="12">
        <v>48.43</v>
      </c>
      <c r="H291" s="12" t="s">
        <v>1195</v>
      </c>
    </row>
    <row r="292" spans="2:8" x14ac:dyDescent="0.3">
      <c r="B292" s="12" t="s">
        <v>465</v>
      </c>
      <c r="C292" s="4">
        <v>54.56</v>
      </c>
      <c r="D292" s="12">
        <v>0.2</v>
      </c>
      <c r="E292" s="4">
        <v>54.56</v>
      </c>
      <c r="F292" s="12" t="s">
        <v>5</v>
      </c>
      <c r="G292" s="12">
        <v>47.58</v>
      </c>
      <c r="H292" s="12" t="s">
        <v>1195</v>
      </c>
    </row>
    <row r="293" spans="2:8" x14ac:dyDescent="0.3">
      <c r="B293" s="12" t="s">
        <v>467</v>
      </c>
      <c r="C293" s="4">
        <v>54.78</v>
      </c>
      <c r="D293" s="12">
        <v>0.2</v>
      </c>
      <c r="E293" s="4">
        <v>54.78</v>
      </c>
      <c r="F293" s="12" t="s">
        <v>5</v>
      </c>
      <c r="G293" s="12">
        <v>48.44</v>
      </c>
      <c r="H293" s="12" t="s">
        <v>1195</v>
      </c>
    </row>
    <row r="294" spans="2:8" x14ac:dyDescent="0.3">
      <c r="B294" s="12" t="s">
        <v>469</v>
      </c>
      <c r="C294" s="4">
        <v>54.85</v>
      </c>
      <c r="D294" s="12">
        <v>0.2</v>
      </c>
      <c r="E294" s="4">
        <v>54.85</v>
      </c>
      <c r="F294" s="12" t="s">
        <v>5</v>
      </c>
      <c r="G294" s="12">
        <v>50.51</v>
      </c>
      <c r="H294" s="12" t="s">
        <v>1195</v>
      </c>
    </row>
    <row r="295" spans="2:8" x14ac:dyDescent="0.3">
      <c r="B295" s="12" t="s">
        <v>471</v>
      </c>
      <c r="C295" s="4">
        <v>55.14</v>
      </c>
      <c r="D295" s="12">
        <v>0.2</v>
      </c>
      <c r="E295" s="4">
        <v>55.14</v>
      </c>
      <c r="F295" s="12" t="s">
        <v>5</v>
      </c>
      <c r="G295" s="12">
        <v>51.41</v>
      </c>
      <c r="H295" s="12" t="s">
        <v>1195</v>
      </c>
    </row>
    <row r="296" spans="2:8" x14ac:dyDescent="0.3">
      <c r="B296" s="12" t="s">
        <v>473</v>
      </c>
      <c r="C296" s="4">
        <v>55.3</v>
      </c>
      <c r="D296" s="12">
        <v>0.2</v>
      </c>
      <c r="E296" s="4">
        <v>55.3</v>
      </c>
      <c r="F296" s="12" t="s">
        <v>5</v>
      </c>
      <c r="G296" s="12">
        <v>53.05</v>
      </c>
      <c r="H296" s="12" t="s">
        <v>1195</v>
      </c>
    </row>
    <row r="297" spans="2:8" x14ac:dyDescent="0.3">
      <c r="B297" s="12" t="s">
        <v>475</v>
      </c>
      <c r="C297" s="4">
        <v>55.48</v>
      </c>
      <c r="D297" s="12">
        <v>0.2</v>
      </c>
      <c r="E297" s="4">
        <v>55.48</v>
      </c>
      <c r="F297" s="12" t="s">
        <v>5</v>
      </c>
      <c r="G297" s="12">
        <v>54.76</v>
      </c>
      <c r="H297" s="12" t="s">
        <v>1293</v>
      </c>
    </row>
    <row r="298" spans="2:8" x14ac:dyDescent="0.3">
      <c r="B298" s="12" t="s">
        <v>477</v>
      </c>
      <c r="C298" s="4">
        <v>55.62</v>
      </c>
      <c r="D298" s="12">
        <v>0.2</v>
      </c>
      <c r="E298" s="4">
        <v>55.62</v>
      </c>
      <c r="F298" s="12" t="s">
        <v>5</v>
      </c>
      <c r="G298" s="12">
        <v>54.97</v>
      </c>
      <c r="H298" s="12" t="s">
        <v>1293</v>
      </c>
    </row>
    <row r="299" spans="2:8" x14ac:dyDescent="0.3">
      <c r="B299" s="12" t="s">
        <v>479</v>
      </c>
      <c r="C299" s="4">
        <v>55.75</v>
      </c>
      <c r="D299" s="12">
        <v>0.2</v>
      </c>
      <c r="E299" s="4">
        <v>55.75</v>
      </c>
      <c r="F299" s="12" t="s">
        <v>5</v>
      </c>
      <c r="G299" s="12">
        <v>55.03</v>
      </c>
      <c r="H299" s="12" t="s">
        <v>1293</v>
      </c>
    </row>
    <row r="300" spans="2:8" x14ac:dyDescent="0.3">
      <c r="B300" s="12" t="s">
        <v>481</v>
      </c>
      <c r="C300" s="4">
        <v>55.93</v>
      </c>
      <c r="D300" s="12">
        <v>0.2</v>
      </c>
      <c r="E300" s="4">
        <v>55.93</v>
      </c>
      <c r="F300" s="12" t="s">
        <v>5</v>
      </c>
      <c r="G300" s="12">
        <v>55.09</v>
      </c>
      <c r="H300" s="12" t="s">
        <v>1195</v>
      </c>
    </row>
    <row r="301" spans="2:8" x14ac:dyDescent="0.3">
      <c r="B301" s="12" t="s">
        <v>483</v>
      </c>
      <c r="C301" s="4">
        <v>56.26</v>
      </c>
      <c r="D301" s="12">
        <v>0.2</v>
      </c>
      <c r="E301" s="4">
        <v>56.26</v>
      </c>
      <c r="F301" s="12" t="s">
        <v>5</v>
      </c>
      <c r="G301" s="12">
        <v>55.15</v>
      </c>
      <c r="H301" s="12" t="s">
        <v>1195</v>
      </c>
    </row>
    <row r="302" spans="2:8" x14ac:dyDescent="0.3">
      <c r="B302" s="12" t="s">
        <v>485</v>
      </c>
      <c r="C302" s="4">
        <v>56.77</v>
      </c>
      <c r="D302" s="12">
        <v>0.2</v>
      </c>
      <c r="E302" s="4">
        <v>56.77</v>
      </c>
      <c r="F302" s="12" t="s">
        <v>5</v>
      </c>
      <c r="G302" s="12">
        <v>55.5</v>
      </c>
      <c r="H302" s="12" t="s">
        <v>1195</v>
      </c>
    </row>
    <row r="303" spans="2:8" x14ac:dyDescent="0.3">
      <c r="B303" s="12" t="s">
        <v>487</v>
      </c>
      <c r="C303" s="4">
        <v>57.46</v>
      </c>
      <c r="D303" s="12">
        <v>0.2</v>
      </c>
      <c r="E303" s="4">
        <v>57.46</v>
      </c>
      <c r="F303" s="12" t="s">
        <v>5</v>
      </c>
      <c r="G303" s="12">
        <v>56.37</v>
      </c>
      <c r="H303" s="12" t="s">
        <v>1195</v>
      </c>
    </row>
    <row r="304" spans="2:8" x14ac:dyDescent="0.3">
      <c r="B304" s="12" t="s">
        <v>489</v>
      </c>
      <c r="C304" s="4">
        <v>58.33</v>
      </c>
      <c r="D304" s="12">
        <v>0.2</v>
      </c>
      <c r="E304" s="4">
        <v>58.33</v>
      </c>
      <c r="F304" s="12" t="s">
        <v>5</v>
      </c>
      <c r="G304" s="12">
        <v>55.67</v>
      </c>
      <c r="H304" s="12" t="s">
        <v>1195</v>
      </c>
    </row>
    <row r="305" spans="2:8" x14ac:dyDescent="0.3">
      <c r="B305" s="12" t="s">
        <v>491</v>
      </c>
      <c r="C305" s="4">
        <v>59.37</v>
      </c>
      <c r="D305" s="12">
        <v>0.2</v>
      </c>
      <c r="E305" s="4">
        <v>59.37</v>
      </c>
      <c r="F305" s="12" t="s">
        <v>5</v>
      </c>
      <c r="G305" s="12">
        <v>53.72</v>
      </c>
      <c r="H305" s="12" t="s">
        <v>1195</v>
      </c>
    </row>
    <row r="306" spans="2:8" x14ac:dyDescent="0.3">
      <c r="B306" s="12" t="s">
        <v>493</v>
      </c>
      <c r="C306" s="4">
        <v>62.01</v>
      </c>
      <c r="D306" s="12">
        <v>0.2</v>
      </c>
      <c r="E306" s="4">
        <v>62.01</v>
      </c>
      <c r="F306" s="12" t="s">
        <v>5</v>
      </c>
      <c r="G306" s="12">
        <v>53.15</v>
      </c>
      <c r="H306" s="12" t="s">
        <v>1195</v>
      </c>
    </row>
    <row r="307" spans="2:8" x14ac:dyDescent="0.3">
      <c r="B307" s="12" t="s">
        <v>495</v>
      </c>
      <c r="C307" s="4">
        <v>63.5</v>
      </c>
      <c r="D307" s="12">
        <v>0.2</v>
      </c>
      <c r="E307" s="4">
        <v>63.5</v>
      </c>
      <c r="F307" s="12" t="s">
        <v>5</v>
      </c>
      <c r="G307" s="12">
        <v>53.84</v>
      </c>
      <c r="H307" s="12" t="s">
        <v>1195</v>
      </c>
    </row>
    <row r="308" spans="2:8" x14ac:dyDescent="0.3">
      <c r="B308" s="12" t="s">
        <v>497</v>
      </c>
      <c r="C308" s="4">
        <v>65.02</v>
      </c>
      <c r="D308" s="12">
        <v>0.2</v>
      </c>
      <c r="E308" s="4">
        <v>65.02</v>
      </c>
      <c r="F308" s="12" t="s">
        <v>5</v>
      </c>
      <c r="G308" s="12">
        <v>55.21</v>
      </c>
      <c r="H308" s="12" t="s">
        <v>1195</v>
      </c>
    </row>
    <row r="309" spans="2:8" x14ac:dyDescent="0.3">
      <c r="B309" s="12" t="s">
        <v>499</v>
      </c>
      <c r="C309" s="4">
        <v>66.510000000000005</v>
      </c>
      <c r="D309" s="12">
        <v>0.2</v>
      </c>
      <c r="E309" s="4">
        <v>66.510000000000005</v>
      </c>
      <c r="F309" s="12" t="s">
        <v>5</v>
      </c>
      <c r="G309" s="12">
        <v>57.08</v>
      </c>
      <c r="H309" s="12" t="s">
        <v>1195</v>
      </c>
    </row>
    <row r="310" spans="2:8" x14ac:dyDescent="0.3">
      <c r="B310" s="12" t="s">
        <v>501</v>
      </c>
      <c r="C310" s="4">
        <v>68.010000000000005</v>
      </c>
      <c r="D310" s="12">
        <v>0.2</v>
      </c>
      <c r="E310" s="4">
        <v>68.010000000000005</v>
      </c>
      <c r="F310" s="12" t="s">
        <v>5</v>
      </c>
      <c r="G310" s="12">
        <v>60.37</v>
      </c>
      <c r="H310" s="12" t="s">
        <v>1195</v>
      </c>
    </row>
    <row r="311" spans="2:8" x14ac:dyDescent="0.3">
      <c r="B311" s="12" t="s">
        <v>503</v>
      </c>
      <c r="C311" s="4">
        <v>69.510000000000005</v>
      </c>
      <c r="D311" s="12">
        <v>0.2</v>
      </c>
      <c r="E311" s="4">
        <v>69.510000000000005</v>
      </c>
      <c r="F311" s="12" t="s">
        <v>5</v>
      </c>
      <c r="G311" s="12">
        <v>63.7</v>
      </c>
      <c r="H311" s="12" t="s">
        <v>1195</v>
      </c>
    </row>
    <row r="312" spans="2:8" x14ac:dyDescent="0.3">
      <c r="B312" s="12" t="s">
        <v>505</v>
      </c>
      <c r="C312" s="4">
        <v>69.58</v>
      </c>
      <c r="D312" s="12">
        <v>0.2</v>
      </c>
      <c r="E312" s="4">
        <v>69.58</v>
      </c>
      <c r="F312" s="12" t="s">
        <v>5</v>
      </c>
      <c r="G312" s="12">
        <v>62.13</v>
      </c>
      <c r="H312" s="12" t="s">
        <v>1195</v>
      </c>
    </row>
    <row r="313" spans="2:8" x14ac:dyDescent="0.3">
      <c r="B313" s="12" t="s">
        <v>507</v>
      </c>
      <c r="C313" s="4">
        <v>71</v>
      </c>
      <c r="D313" s="12">
        <v>0.2</v>
      </c>
      <c r="E313" s="4">
        <v>71</v>
      </c>
      <c r="F313" s="12" t="s">
        <v>5</v>
      </c>
      <c r="G313" s="12">
        <v>67.010000000000005</v>
      </c>
      <c r="H313" s="12" t="s">
        <v>1195</v>
      </c>
    </row>
    <row r="314" spans="2:8" x14ac:dyDescent="0.3">
      <c r="B314" s="12" t="s">
        <v>509</v>
      </c>
      <c r="C314" s="4">
        <v>71.02</v>
      </c>
      <c r="D314" s="12">
        <v>0.2</v>
      </c>
      <c r="E314" s="4">
        <v>71.02</v>
      </c>
      <c r="F314" s="12" t="s">
        <v>5</v>
      </c>
      <c r="G314" s="12">
        <v>65.73</v>
      </c>
      <c r="H314" s="12" t="s">
        <v>1195</v>
      </c>
    </row>
    <row r="315" spans="2:8" x14ac:dyDescent="0.3">
      <c r="B315" s="12" t="s">
        <v>511</v>
      </c>
      <c r="C315" s="4">
        <v>72.53</v>
      </c>
      <c r="D315" s="12">
        <v>0.2</v>
      </c>
      <c r="E315" s="4">
        <v>72.53</v>
      </c>
      <c r="F315" s="12" t="s">
        <v>5</v>
      </c>
      <c r="G315" s="12">
        <v>69.33</v>
      </c>
      <c r="H315" s="12" t="s">
        <v>1195</v>
      </c>
    </row>
    <row r="316" spans="2:8" x14ac:dyDescent="0.3">
      <c r="B316" s="12" t="s">
        <v>513</v>
      </c>
      <c r="C316" s="4">
        <v>72.52</v>
      </c>
      <c r="D316" s="12">
        <v>0.2</v>
      </c>
      <c r="E316" s="4">
        <v>72.52</v>
      </c>
      <c r="F316" s="12" t="s">
        <v>5</v>
      </c>
      <c r="G316" s="12">
        <v>70.34</v>
      </c>
      <c r="H316" s="12" t="s">
        <v>1195</v>
      </c>
    </row>
    <row r="317" spans="2:8" x14ac:dyDescent="0.3">
      <c r="B317" s="12" t="s">
        <v>515</v>
      </c>
      <c r="C317" s="12">
        <v>82.25</v>
      </c>
      <c r="D317" s="12">
        <v>0.2</v>
      </c>
      <c r="E317" s="12">
        <v>82.25</v>
      </c>
      <c r="F317" s="12" t="s">
        <v>5</v>
      </c>
      <c r="G317" s="12">
        <v>82.15</v>
      </c>
      <c r="H317" s="12" t="s">
        <v>1293</v>
      </c>
    </row>
    <row r="318" spans="2:8" x14ac:dyDescent="0.3">
      <c r="B318" s="12" t="s">
        <v>517</v>
      </c>
      <c r="C318" s="12">
        <v>82.77</v>
      </c>
      <c r="D318" s="12">
        <v>0.2</v>
      </c>
      <c r="E318" s="12">
        <v>82.77</v>
      </c>
      <c r="F318" s="12" t="s">
        <v>5</v>
      </c>
      <c r="G318" s="12">
        <v>82.67</v>
      </c>
      <c r="H318" s="12" t="s">
        <v>1293</v>
      </c>
    </row>
    <row r="319" spans="2:8" x14ac:dyDescent="0.3">
      <c r="B319" s="12" t="s">
        <v>519</v>
      </c>
      <c r="C319" s="12">
        <v>83.14</v>
      </c>
      <c r="D319" s="12">
        <v>0.2</v>
      </c>
      <c r="E319" s="12">
        <v>83.14</v>
      </c>
      <c r="F319" s="12" t="s">
        <v>5</v>
      </c>
      <c r="G319" s="12">
        <v>82.94</v>
      </c>
      <c r="H319" s="12" t="s">
        <v>1293</v>
      </c>
    </row>
    <row r="320" spans="2:8" x14ac:dyDescent="0.3">
      <c r="B320" s="12" t="s">
        <v>521</v>
      </c>
      <c r="C320" s="12">
        <v>83.24</v>
      </c>
      <c r="D320" s="12">
        <v>0.2</v>
      </c>
      <c r="E320" s="12">
        <v>83.24</v>
      </c>
      <c r="F320" s="12" t="s">
        <v>5</v>
      </c>
      <c r="G320" s="12">
        <v>83.04</v>
      </c>
      <c r="H320" s="12" t="s">
        <v>1293</v>
      </c>
    </row>
    <row r="321" spans="2:8" x14ac:dyDescent="0.3">
      <c r="B321" s="12" t="s">
        <v>523</v>
      </c>
      <c r="C321" s="12">
        <v>82.16</v>
      </c>
      <c r="D321" s="12">
        <v>0.2</v>
      </c>
      <c r="E321" s="12">
        <v>82.16</v>
      </c>
      <c r="F321" s="12" t="s">
        <v>5</v>
      </c>
      <c r="G321" s="12">
        <v>81.96</v>
      </c>
      <c r="H321" s="12" t="s">
        <v>1293</v>
      </c>
    </row>
    <row r="322" spans="2:8" x14ac:dyDescent="0.3">
      <c r="B322" s="12" t="s">
        <v>525</v>
      </c>
      <c r="C322" s="12">
        <v>81.819999999999993</v>
      </c>
      <c r="D322" s="12">
        <v>0.2</v>
      </c>
      <c r="E322" s="12">
        <v>81.819999999999993</v>
      </c>
      <c r="F322" s="12" t="s">
        <v>5</v>
      </c>
      <c r="G322" s="12">
        <v>81.62</v>
      </c>
      <c r="H322" s="12" t="s">
        <v>1293</v>
      </c>
    </row>
    <row r="323" spans="2:8" x14ac:dyDescent="0.3">
      <c r="B323" s="12" t="s">
        <v>527</v>
      </c>
      <c r="C323" s="12">
        <v>81.48</v>
      </c>
      <c r="D323" s="12">
        <v>0.2</v>
      </c>
      <c r="E323" s="12">
        <v>81.48</v>
      </c>
      <c r="F323" s="12" t="s">
        <v>5</v>
      </c>
      <c r="G323" s="12">
        <v>81.28</v>
      </c>
      <c r="H323" s="12" t="s">
        <v>1293</v>
      </c>
    </row>
    <row r="324" spans="2:8" x14ac:dyDescent="0.3">
      <c r="B324" s="12" t="s">
        <v>529</v>
      </c>
      <c r="C324" s="12">
        <v>81.19</v>
      </c>
      <c r="D324" s="12">
        <v>0.2</v>
      </c>
      <c r="E324" s="12">
        <v>81.19</v>
      </c>
      <c r="F324" s="12" t="s">
        <v>5</v>
      </c>
      <c r="G324" s="12">
        <v>80.989999999999995</v>
      </c>
      <c r="H324" s="12" t="s">
        <v>1293</v>
      </c>
    </row>
    <row r="325" spans="2:8" x14ac:dyDescent="0.3">
      <c r="B325" s="12" t="s">
        <v>531</v>
      </c>
      <c r="C325" s="4">
        <v>81.31</v>
      </c>
      <c r="D325" s="12">
        <v>0.2</v>
      </c>
      <c r="E325" s="4">
        <v>81.31</v>
      </c>
      <c r="F325" s="12" t="s">
        <v>5</v>
      </c>
      <c r="G325" s="12">
        <v>80.77</v>
      </c>
      <c r="H325" s="12" t="s">
        <v>1293</v>
      </c>
    </row>
    <row r="326" spans="2:8" x14ac:dyDescent="0.3">
      <c r="B326" s="12" t="s">
        <v>533</v>
      </c>
      <c r="C326" s="4">
        <v>81.569999999999993</v>
      </c>
      <c r="D326" s="12">
        <v>0.2</v>
      </c>
      <c r="E326" s="4">
        <v>81.569999999999993</v>
      </c>
      <c r="F326" s="12" t="s">
        <v>5</v>
      </c>
      <c r="G326" s="12">
        <v>80.739999999999995</v>
      </c>
      <c r="H326" s="12" t="s">
        <v>1195</v>
      </c>
    </row>
    <row r="327" spans="2:8" x14ac:dyDescent="0.3">
      <c r="B327" s="12" t="s">
        <v>535</v>
      </c>
      <c r="C327" s="4">
        <v>81.569999999999993</v>
      </c>
      <c r="D327" s="12">
        <v>0.2</v>
      </c>
      <c r="E327" s="4">
        <v>81.569999999999993</v>
      </c>
      <c r="F327" s="12" t="s">
        <v>5</v>
      </c>
      <c r="G327" s="12">
        <v>80.959999999999994</v>
      </c>
      <c r="H327" s="12" t="s">
        <v>1293</v>
      </c>
    </row>
    <row r="328" spans="2:8" x14ac:dyDescent="0.3">
      <c r="B328" s="12" t="s">
        <v>537</v>
      </c>
      <c r="C328" s="4">
        <v>86.58</v>
      </c>
      <c r="D328" s="12">
        <v>0.2</v>
      </c>
      <c r="E328" s="4">
        <v>86.58</v>
      </c>
      <c r="F328" s="12" t="s">
        <v>5</v>
      </c>
      <c r="G328" s="12">
        <v>84.9</v>
      </c>
      <c r="H328" s="12" t="s">
        <v>1195</v>
      </c>
    </row>
    <row r="329" spans="2:8" x14ac:dyDescent="0.3">
      <c r="B329" s="12" t="s">
        <v>539</v>
      </c>
      <c r="C329" s="4">
        <v>86.44</v>
      </c>
      <c r="D329" s="12">
        <v>0.2</v>
      </c>
      <c r="E329" s="4">
        <v>86.44</v>
      </c>
      <c r="F329" s="12" t="s">
        <v>5</v>
      </c>
      <c r="G329" s="12">
        <v>85.04</v>
      </c>
      <c r="H329" s="12" t="s">
        <v>1195</v>
      </c>
    </row>
    <row r="330" spans="2:8" x14ac:dyDescent="0.3">
      <c r="B330" s="12" t="s">
        <v>541</v>
      </c>
      <c r="C330" s="4">
        <v>86.27</v>
      </c>
      <c r="D330" s="12">
        <v>0.2</v>
      </c>
      <c r="E330" s="4">
        <v>86.27</v>
      </c>
      <c r="F330" s="12" t="s">
        <v>5</v>
      </c>
      <c r="G330" s="12">
        <v>85.59</v>
      </c>
      <c r="H330" s="12" t="s">
        <v>1293</v>
      </c>
    </row>
    <row r="331" spans="2:8" x14ac:dyDescent="0.3">
      <c r="B331" s="12" t="s">
        <v>543</v>
      </c>
      <c r="C331" s="12">
        <v>85.88</v>
      </c>
      <c r="D331" s="12">
        <v>0.2</v>
      </c>
      <c r="E331" s="12">
        <v>85.88</v>
      </c>
      <c r="F331" s="12" t="s">
        <v>5</v>
      </c>
      <c r="G331" s="12">
        <v>85.68</v>
      </c>
      <c r="H331" s="12" t="s">
        <v>1293</v>
      </c>
    </row>
    <row r="332" spans="2:8" x14ac:dyDescent="0.3">
      <c r="B332" s="12" t="s">
        <v>545</v>
      </c>
      <c r="C332" s="12">
        <v>85.95</v>
      </c>
      <c r="D332" s="12">
        <v>0.2</v>
      </c>
      <c r="E332" s="12">
        <v>85.95</v>
      </c>
      <c r="F332" s="12" t="s">
        <v>5</v>
      </c>
      <c r="G332" s="12">
        <v>85.75</v>
      </c>
      <c r="H332" s="12" t="s">
        <v>1293</v>
      </c>
    </row>
    <row r="333" spans="2:8" x14ac:dyDescent="0.3">
      <c r="B333" s="12" t="s">
        <v>547</v>
      </c>
      <c r="C333" s="4">
        <v>84.09</v>
      </c>
      <c r="D333" s="12">
        <v>0.2</v>
      </c>
      <c r="E333" s="4">
        <v>84.09</v>
      </c>
      <c r="F333" s="12" t="s">
        <v>5</v>
      </c>
      <c r="G333" s="12">
        <v>81.53</v>
      </c>
      <c r="H333" s="12" t="s">
        <v>1195</v>
      </c>
    </row>
    <row r="334" spans="2:8" x14ac:dyDescent="0.3">
      <c r="B334" s="12" t="s">
        <v>549</v>
      </c>
      <c r="C334" s="12">
        <v>84.05</v>
      </c>
      <c r="D334" s="12">
        <v>0.2</v>
      </c>
      <c r="E334" s="12">
        <v>84.05</v>
      </c>
      <c r="F334" s="12" t="s">
        <v>5</v>
      </c>
      <c r="G334" s="12">
        <v>81.62</v>
      </c>
      <c r="H334" s="12" t="s">
        <v>1195</v>
      </c>
    </row>
    <row r="335" spans="2:8" x14ac:dyDescent="0.3">
      <c r="B335" s="12" t="s">
        <v>551</v>
      </c>
      <c r="C335" s="12">
        <v>83.28</v>
      </c>
      <c r="D335" s="12">
        <v>0.2</v>
      </c>
      <c r="E335" s="12">
        <v>83.28</v>
      </c>
      <c r="F335" s="12" t="s">
        <v>5</v>
      </c>
      <c r="G335" s="12">
        <v>80.989999999999995</v>
      </c>
      <c r="H335" s="12" t="s">
        <v>1195</v>
      </c>
    </row>
    <row r="336" spans="2:8" x14ac:dyDescent="0.3">
      <c r="B336" s="12" t="s">
        <v>553</v>
      </c>
      <c r="C336" s="12">
        <v>83.26</v>
      </c>
      <c r="D336" s="12">
        <v>0.2</v>
      </c>
      <c r="E336" s="12">
        <v>83.26</v>
      </c>
      <c r="F336" s="12" t="s">
        <v>5</v>
      </c>
      <c r="G336" s="12">
        <v>81.010000000000005</v>
      </c>
      <c r="H336" s="12" t="s">
        <v>1195</v>
      </c>
    </row>
    <row r="337" spans="2:8" x14ac:dyDescent="0.3">
      <c r="B337" s="12" t="s">
        <v>555</v>
      </c>
      <c r="C337" s="12">
        <v>82.38</v>
      </c>
      <c r="D337" s="12">
        <v>0.2</v>
      </c>
      <c r="E337" s="12">
        <v>82.38</v>
      </c>
      <c r="F337" s="12" t="s">
        <v>5</v>
      </c>
      <c r="G337" s="12">
        <v>80.88</v>
      </c>
      <c r="H337" s="12" t="s">
        <v>1195</v>
      </c>
    </row>
    <row r="338" spans="2:8" x14ac:dyDescent="0.3">
      <c r="B338" s="12" t="s">
        <v>557</v>
      </c>
      <c r="C338" s="12">
        <v>82.36</v>
      </c>
      <c r="D338" s="12">
        <v>0.2</v>
      </c>
      <c r="E338" s="12">
        <v>82.36</v>
      </c>
      <c r="F338" s="12" t="s">
        <v>5</v>
      </c>
      <c r="G338" s="12">
        <v>80.86</v>
      </c>
      <c r="H338" s="12" t="s">
        <v>1195</v>
      </c>
    </row>
    <row r="339" spans="2:8" x14ac:dyDescent="0.3">
      <c r="B339" s="12" t="s">
        <v>559</v>
      </c>
      <c r="C339" s="12">
        <v>80.97</v>
      </c>
      <c r="D339" s="12">
        <v>0.2</v>
      </c>
      <c r="E339" s="12">
        <v>80.97</v>
      </c>
      <c r="F339" s="12" t="s">
        <v>5</v>
      </c>
      <c r="G339" s="12">
        <v>80.77</v>
      </c>
      <c r="H339" s="12" t="s">
        <v>1293</v>
      </c>
    </row>
    <row r="340" spans="2:8" x14ac:dyDescent="0.3">
      <c r="B340" s="12" t="s">
        <v>561</v>
      </c>
      <c r="C340" s="12">
        <v>80.95</v>
      </c>
      <c r="D340" s="12">
        <v>0.2</v>
      </c>
      <c r="E340" s="12">
        <v>80.95</v>
      </c>
      <c r="F340" s="12" t="s">
        <v>5</v>
      </c>
      <c r="G340" s="12">
        <v>80.75</v>
      </c>
      <c r="H340" s="12" t="s">
        <v>1293</v>
      </c>
    </row>
    <row r="341" spans="2:8" x14ac:dyDescent="0.3">
      <c r="B341" s="12" t="s">
        <v>563</v>
      </c>
      <c r="C341" s="12">
        <v>57.14</v>
      </c>
      <c r="D341" s="12">
        <v>0.2</v>
      </c>
      <c r="E341" s="12">
        <v>57.14</v>
      </c>
      <c r="F341" s="12" t="s">
        <v>5</v>
      </c>
      <c r="G341" s="12">
        <v>46.05</v>
      </c>
      <c r="H341" s="12" t="s">
        <v>1195</v>
      </c>
    </row>
    <row r="342" spans="2:8" x14ac:dyDescent="0.3">
      <c r="B342" s="12" t="s">
        <v>565</v>
      </c>
      <c r="C342" s="12">
        <v>57.14</v>
      </c>
      <c r="D342" s="12">
        <v>0.2</v>
      </c>
      <c r="E342" s="12">
        <v>57.14</v>
      </c>
      <c r="F342" s="12" t="s">
        <v>5</v>
      </c>
      <c r="G342" s="12">
        <v>46.67</v>
      </c>
      <c r="H342" s="12" t="s">
        <v>1195</v>
      </c>
    </row>
    <row r="343" spans="2:8" x14ac:dyDescent="0.3">
      <c r="B343" s="12" t="s">
        <v>567</v>
      </c>
      <c r="C343" s="12">
        <v>58.55</v>
      </c>
      <c r="D343" s="12">
        <v>0.2</v>
      </c>
      <c r="E343" s="12">
        <v>58.55</v>
      </c>
      <c r="F343" s="12" t="s">
        <v>5</v>
      </c>
      <c r="G343" s="12">
        <v>49.27</v>
      </c>
      <c r="H343" s="12" t="s">
        <v>1195</v>
      </c>
    </row>
    <row r="344" spans="2:8" x14ac:dyDescent="0.3">
      <c r="B344" s="12" t="s">
        <v>569</v>
      </c>
      <c r="C344" s="12">
        <v>58.64</v>
      </c>
      <c r="D344" s="12">
        <v>0.2</v>
      </c>
      <c r="E344" s="12">
        <v>58.64</v>
      </c>
      <c r="F344" s="12" t="s">
        <v>5</v>
      </c>
      <c r="G344" s="12">
        <v>51.16</v>
      </c>
      <c r="H344" s="12" t="s">
        <v>1195</v>
      </c>
    </row>
    <row r="345" spans="2:8" x14ac:dyDescent="0.3">
      <c r="B345" s="12" t="s">
        <v>571</v>
      </c>
      <c r="C345" s="12">
        <v>60.09</v>
      </c>
      <c r="D345" s="12">
        <v>0.2</v>
      </c>
      <c r="E345" s="12">
        <v>60.09</v>
      </c>
      <c r="F345" s="12" t="s">
        <v>5</v>
      </c>
      <c r="G345" s="12">
        <v>53.76</v>
      </c>
      <c r="H345" s="12" t="s">
        <v>1195</v>
      </c>
    </row>
    <row r="346" spans="2:8" x14ac:dyDescent="0.3">
      <c r="B346" s="12" t="s">
        <v>573</v>
      </c>
      <c r="C346" s="12">
        <v>61.58</v>
      </c>
      <c r="D346" s="12">
        <v>0.2</v>
      </c>
      <c r="E346" s="12">
        <v>61.58</v>
      </c>
      <c r="F346" s="12" t="s">
        <v>5</v>
      </c>
      <c r="G346" s="12">
        <v>58.27</v>
      </c>
      <c r="H346" s="12" t="s">
        <v>1195</v>
      </c>
    </row>
    <row r="347" spans="2:8" x14ac:dyDescent="0.3">
      <c r="B347" s="12" t="s">
        <v>575</v>
      </c>
      <c r="C347" s="12">
        <v>84.76</v>
      </c>
      <c r="D347" s="12">
        <v>0.2</v>
      </c>
      <c r="E347" s="12">
        <v>84.76</v>
      </c>
      <c r="F347" s="12" t="s">
        <v>5</v>
      </c>
      <c r="G347" s="12">
        <v>84.56</v>
      </c>
      <c r="H347" s="12" t="s">
        <v>1293</v>
      </c>
    </row>
    <row r="348" spans="2:8" x14ac:dyDescent="0.3">
      <c r="B348" s="12" t="s">
        <v>577</v>
      </c>
      <c r="C348" s="12">
        <v>84.85</v>
      </c>
      <c r="D348" s="12">
        <v>0.2</v>
      </c>
      <c r="E348" s="12">
        <v>84.85</v>
      </c>
      <c r="F348" s="12" t="s">
        <v>5</v>
      </c>
      <c r="G348" s="12">
        <v>84.65</v>
      </c>
      <c r="H348" s="12" t="s">
        <v>1293</v>
      </c>
    </row>
    <row r="349" spans="2:8" x14ac:dyDescent="0.3">
      <c r="B349" s="12" t="s">
        <v>579</v>
      </c>
      <c r="C349" s="12">
        <v>84.83</v>
      </c>
      <c r="D349" s="12">
        <v>0.2</v>
      </c>
      <c r="E349" s="12">
        <v>84.83</v>
      </c>
      <c r="F349" s="12" t="s">
        <v>5</v>
      </c>
      <c r="G349" s="12">
        <v>84.67</v>
      </c>
      <c r="H349" s="12" t="s">
        <v>1293</v>
      </c>
    </row>
    <row r="350" spans="2:8" x14ac:dyDescent="0.3">
      <c r="B350" s="12" t="s">
        <v>581</v>
      </c>
      <c r="C350" s="12">
        <v>84.7</v>
      </c>
      <c r="D350" s="12">
        <v>0.2</v>
      </c>
      <c r="E350" s="12">
        <v>84.7</v>
      </c>
      <c r="F350" s="12" t="s">
        <v>5</v>
      </c>
      <c r="G350" s="12">
        <v>84.41</v>
      </c>
      <c r="H350" s="12" t="s">
        <v>1293</v>
      </c>
    </row>
    <row r="351" spans="2:8" x14ac:dyDescent="0.3">
      <c r="B351" s="12" t="s">
        <v>583</v>
      </c>
      <c r="C351" s="12">
        <v>82.55</v>
      </c>
      <c r="D351" s="12">
        <v>0.2</v>
      </c>
      <c r="E351" s="12">
        <v>82.55</v>
      </c>
      <c r="F351" s="12" t="s">
        <v>5</v>
      </c>
      <c r="G351" s="12">
        <v>82.4</v>
      </c>
      <c r="H351" s="12" t="s">
        <v>1293</v>
      </c>
    </row>
    <row r="352" spans="2:8" x14ac:dyDescent="0.3">
      <c r="B352" s="12" t="s">
        <v>585</v>
      </c>
      <c r="C352" s="12">
        <v>43.7</v>
      </c>
      <c r="D352" s="12">
        <v>0.2</v>
      </c>
      <c r="E352" s="12">
        <v>43.7</v>
      </c>
      <c r="F352" s="12" t="s">
        <v>5</v>
      </c>
      <c r="G352" s="12">
        <v>43.7</v>
      </c>
      <c r="H352" s="12" t="s">
        <v>1293</v>
      </c>
    </row>
    <row r="353" spans="2:8" x14ac:dyDescent="0.3">
      <c r="B353" s="12" t="s">
        <v>587</v>
      </c>
      <c r="C353" s="12">
        <v>45.94</v>
      </c>
      <c r="D353" s="12">
        <v>0.2</v>
      </c>
      <c r="E353" s="12">
        <v>45.94</v>
      </c>
      <c r="F353" s="12" t="s">
        <v>5</v>
      </c>
      <c r="G353" s="12">
        <v>45.74</v>
      </c>
      <c r="H353" s="12" t="s">
        <v>1293</v>
      </c>
    </row>
    <row r="354" spans="2:8" x14ac:dyDescent="0.3">
      <c r="B354" s="12" t="s">
        <v>589</v>
      </c>
      <c r="C354" s="12">
        <v>46.19</v>
      </c>
      <c r="D354" s="12">
        <v>0.2</v>
      </c>
      <c r="E354" s="12">
        <v>46.19</v>
      </c>
      <c r="F354" s="12" t="s">
        <v>5</v>
      </c>
      <c r="G354" s="12">
        <v>45.99</v>
      </c>
      <c r="H354" s="12" t="s">
        <v>1293</v>
      </c>
    </row>
    <row r="355" spans="2:8" x14ac:dyDescent="0.3">
      <c r="B355" s="12" t="s">
        <v>591</v>
      </c>
      <c r="C355" s="12">
        <v>46.38</v>
      </c>
      <c r="D355" s="12">
        <v>0.2</v>
      </c>
      <c r="E355" s="12">
        <v>46.38</v>
      </c>
      <c r="F355" s="12" t="s">
        <v>5</v>
      </c>
      <c r="G355" s="12">
        <v>46.18</v>
      </c>
      <c r="H355" s="12" t="s">
        <v>1293</v>
      </c>
    </row>
    <row r="356" spans="2:8" x14ac:dyDescent="0.3">
      <c r="B356" s="12" t="s">
        <v>593</v>
      </c>
      <c r="C356" s="12">
        <v>48.01</v>
      </c>
      <c r="D356" s="12">
        <v>0.2</v>
      </c>
      <c r="E356" s="12">
        <v>48.01</v>
      </c>
      <c r="F356" s="12" t="s">
        <v>5</v>
      </c>
      <c r="G356" s="12">
        <v>47.91</v>
      </c>
      <c r="H356" s="12" t="s">
        <v>1293</v>
      </c>
    </row>
    <row r="357" spans="2:8" x14ac:dyDescent="0.3">
      <c r="B357" s="12" t="s">
        <v>595</v>
      </c>
      <c r="C357" s="12">
        <v>47.63</v>
      </c>
      <c r="D357" s="12">
        <v>0.2</v>
      </c>
      <c r="E357" s="12">
        <v>47.63</v>
      </c>
      <c r="F357" s="12" t="s">
        <v>5</v>
      </c>
      <c r="G357" s="12">
        <v>47.43</v>
      </c>
      <c r="H357" s="12" t="s">
        <v>1293</v>
      </c>
    </row>
    <row r="358" spans="2:8" x14ac:dyDescent="0.3">
      <c r="B358" s="12" t="s">
        <v>597</v>
      </c>
      <c r="C358" s="12">
        <v>47.84</v>
      </c>
      <c r="D358" s="12">
        <v>0.2</v>
      </c>
      <c r="E358" s="12">
        <v>47.84</v>
      </c>
      <c r="F358" s="12" t="s">
        <v>5</v>
      </c>
      <c r="G358" s="12">
        <v>47.64</v>
      </c>
      <c r="H358" s="12" t="s">
        <v>1293</v>
      </c>
    </row>
    <row r="359" spans="2:8" x14ac:dyDescent="0.3">
      <c r="B359" s="12" t="s">
        <v>599</v>
      </c>
      <c r="C359" s="12">
        <v>62.27</v>
      </c>
      <c r="D359" s="12">
        <v>0.2</v>
      </c>
      <c r="E359" s="12">
        <v>62.27</v>
      </c>
      <c r="F359" s="12" t="s">
        <v>5</v>
      </c>
      <c r="G359" s="12">
        <v>61.61</v>
      </c>
      <c r="H359" s="12" t="s">
        <v>1293</v>
      </c>
    </row>
    <row r="360" spans="2:8" x14ac:dyDescent="0.3">
      <c r="B360" s="12" t="s">
        <v>601</v>
      </c>
      <c r="C360" s="12">
        <v>64.760000000000005</v>
      </c>
      <c r="D360" s="12">
        <v>0.2</v>
      </c>
      <c r="E360" s="12">
        <v>64.760000000000005</v>
      </c>
      <c r="F360" s="12" t="s">
        <v>5</v>
      </c>
      <c r="G360" s="12">
        <v>63.96</v>
      </c>
      <c r="H360" s="12" t="s">
        <v>1195</v>
      </c>
    </row>
    <row r="361" spans="2:8" x14ac:dyDescent="0.3">
      <c r="B361" s="12" t="s">
        <v>603</v>
      </c>
      <c r="C361" s="12">
        <v>74.38</v>
      </c>
      <c r="D361" s="12">
        <v>0.2</v>
      </c>
      <c r="E361" s="12">
        <v>74.38</v>
      </c>
      <c r="F361" s="12" t="s">
        <v>5</v>
      </c>
      <c r="G361" s="12">
        <v>72.989999999999995</v>
      </c>
      <c r="H361" s="12" t="s">
        <v>1195</v>
      </c>
    </row>
    <row r="362" spans="2:8" x14ac:dyDescent="0.3">
      <c r="B362" s="12" t="s">
        <v>605</v>
      </c>
      <c r="C362" s="12">
        <v>59.66</v>
      </c>
      <c r="D362" s="12">
        <v>0.2</v>
      </c>
      <c r="E362" s="12">
        <v>59.66</v>
      </c>
      <c r="F362" s="12" t="s">
        <v>5</v>
      </c>
      <c r="G362" s="12">
        <v>59.47</v>
      </c>
      <c r="H362" s="12" t="s">
        <v>1293</v>
      </c>
    </row>
    <row r="363" spans="2:8" x14ac:dyDescent="0.3">
      <c r="B363" s="12" t="s">
        <v>607</v>
      </c>
      <c r="C363" s="12">
        <v>60.13</v>
      </c>
      <c r="D363" s="12">
        <v>0.2</v>
      </c>
      <c r="E363" s="12">
        <v>60.13</v>
      </c>
      <c r="F363" s="12" t="s">
        <v>5</v>
      </c>
      <c r="G363" s="12">
        <v>53.12</v>
      </c>
      <c r="H363" s="12" t="s">
        <v>1195</v>
      </c>
    </row>
    <row r="364" spans="2:8" x14ac:dyDescent="0.3">
      <c r="B364" s="12" t="s">
        <v>609</v>
      </c>
      <c r="C364" s="12">
        <v>84.15</v>
      </c>
      <c r="D364" s="12">
        <v>0.2</v>
      </c>
      <c r="E364" s="12">
        <v>84.15</v>
      </c>
      <c r="F364" s="12" t="s">
        <v>5</v>
      </c>
      <c r="G364" s="12">
        <v>83.45</v>
      </c>
      <c r="H364" s="12" t="s">
        <v>1293</v>
      </c>
    </row>
    <row r="365" spans="2:8" x14ac:dyDescent="0.3">
      <c r="B365" s="12" t="s">
        <v>611</v>
      </c>
      <c r="C365" s="12">
        <v>84.17</v>
      </c>
      <c r="D365" s="12">
        <v>0.2</v>
      </c>
      <c r="E365" s="12">
        <v>84.17</v>
      </c>
      <c r="F365" s="12" t="s">
        <v>5</v>
      </c>
      <c r="G365" s="12">
        <v>83.39</v>
      </c>
      <c r="H365" s="12" t="s">
        <v>1293</v>
      </c>
    </row>
    <row r="366" spans="2:8" x14ac:dyDescent="0.3">
      <c r="B366" s="12" t="s">
        <v>613</v>
      </c>
      <c r="C366" s="12">
        <v>84.61</v>
      </c>
      <c r="D366" s="12">
        <v>0.2</v>
      </c>
      <c r="E366" s="12">
        <v>84.61</v>
      </c>
      <c r="F366" s="12" t="s">
        <v>5</v>
      </c>
      <c r="G366" s="12">
        <v>83.54</v>
      </c>
      <c r="H366" s="12" t="s">
        <v>1195</v>
      </c>
    </row>
    <row r="367" spans="2:8" x14ac:dyDescent="0.3">
      <c r="B367" s="12" t="s">
        <v>615</v>
      </c>
      <c r="C367" s="12">
        <v>84.61</v>
      </c>
      <c r="D367" s="12">
        <v>0.2</v>
      </c>
      <c r="E367" s="12">
        <v>84.61</v>
      </c>
      <c r="F367" s="12" t="s">
        <v>5</v>
      </c>
      <c r="G367" s="12">
        <v>83.47</v>
      </c>
      <c r="H367" s="12" t="s">
        <v>1195</v>
      </c>
    </row>
    <row r="368" spans="2:8" x14ac:dyDescent="0.3">
      <c r="B368" s="12" t="s">
        <v>617</v>
      </c>
      <c r="C368" s="12">
        <v>85.03</v>
      </c>
      <c r="D368" s="12">
        <v>0.2</v>
      </c>
      <c r="E368" s="12">
        <v>85.03</v>
      </c>
      <c r="F368" s="12" t="s">
        <v>5</v>
      </c>
      <c r="G368" s="12">
        <v>83.62</v>
      </c>
      <c r="H368" s="12" t="s">
        <v>1195</v>
      </c>
    </row>
    <row r="369" spans="2:8" x14ac:dyDescent="0.3">
      <c r="B369" s="12" t="s">
        <v>619</v>
      </c>
      <c r="C369" s="12">
        <v>85.04</v>
      </c>
      <c r="D369" s="12">
        <v>0.2</v>
      </c>
      <c r="E369" s="12">
        <v>85.04</v>
      </c>
      <c r="F369" s="12" t="s">
        <v>5</v>
      </c>
      <c r="G369" s="12">
        <v>83.55</v>
      </c>
      <c r="H369" s="12" t="s">
        <v>1195</v>
      </c>
    </row>
    <row r="370" spans="2:8" x14ac:dyDescent="0.3">
      <c r="B370" s="12" t="s">
        <v>621</v>
      </c>
      <c r="C370" s="12">
        <v>85.52</v>
      </c>
      <c r="D370" s="12">
        <v>0.2</v>
      </c>
      <c r="E370" s="12">
        <v>85.52</v>
      </c>
      <c r="F370" s="12" t="s">
        <v>5</v>
      </c>
      <c r="G370" s="12">
        <v>84.13</v>
      </c>
      <c r="H370" s="12" t="s">
        <v>1195</v>
      </c>
    </row>
    <row r="371" spans="2:8" x14ac:dyDescent="0.3">
      <c r="B371" s="12" t="s">
        <v>623</v>
      </c>
      <c r="C371" s="12">
        <v>85.51</v>
      </c>
      <c r="D371" s="12">
        <v>0.2</v>
      </c>
      <c r="E371" s="12">
        <v>85.51</v>
      </c>
      <c r="F371" s="12" t="s">
        <v>5</v>
      </c>
      <c r="G371" s="12">
        <v>84.13</v>
      </c>
      <c r="H371" s="12" t="s">
        <v>1195</v>
      </c>
    </row>
    <row r="372" spans="2:8" x14ac:dyDescent="0.3">
      <c r="B372" s="12" t="s">
        <v>625</v>
      </c>
      <c r="C372" s="12">
        <v>85.93</v>
      </c>
      <c r="D372" s="12">
        <v>0.2</v>
      </c>
      <c r="E372" s="12">
        <v>85.93</v>
      </c>
      <c r="F372" s="12" t="s">
        <v>5</v>
      </c>
      <c r="G372" s="12">
        <v>84.68</v>
      </c>
      <c r="H372" s="12" t="s">
        <v>1195</v>
      </c>
    </row>
    <row r="373" spans="2:8" x14ac:dyDescent="0.3">
      <c r="B373" s="12" t="s">
        <v>627</v>
      </c>
      <c r="C373" s="12">
        <v>85.99</v>
      </c>
      <c r="D373" s="12">
        <v>0.2</v>
      </c>
      <c r="E373" s="12">
        <v>85.99</v>
      </c>
      <c r="F373" s="12" t="s">
        <v>5</v>
      </c>
      <c r="G373" s="12">
        <v>84.68</v>
      </c>
      <c r="H373" s="12" t="s">
        <v>1195</v>
      </c>
    </row>
    <row r="374" spans="2:8" x14ac:dyDescent="0.3">
      <c r="B374" s="12" t="s">
        <v>629</v>
      </c>
      <c r="C374" s="12">
        <v>86.25</v>
      </c>
      <c r="D374" s="12">
        <v>0.2</v>
      </c>
      <c r="E374" s="12">
        <v>86.25</v>
      </c>
      <c r="F374" s="12" t="s">
        <v>5</v>
      </c>
      <c r="G374" s="12">
        <v>84.79</v>
      </c>
      <c r="H374" s="12" t="s">
        <v>1195</v>
      </c>
    </row>
    <row r="375" spans="2:8" x14ac:dyDescent="0.3">
      <c r="B375" s="12" t="s">
        <v>631</v>
      </c>
      <c r="C375" s="12">
        <v>86.44</v>
      </c>
      <c r="D375" s="12">
        <v>0.2</v>
      </c>
      <c r="E375" s="12">
        <v>86.44</v>
      </c>
      <c r="F375" s="12" t="s">
        <v>5</v>
      </c>
      <c r="G375" s="12">
        <v>84.84</v>
      </c>
      <c r="H375" s="12" t="s">
        <v>1195</v>
      </c>
    </row>
    <row r="376" spans="2:8" x14ac:dyDescent="0.3">
      <c r="B376" s="12" t="s">
        <v>632</v>
      </c>
      <c r="C376" s="12">
        <v>82.4</v>
      </c>
      <c r="D376" s="12">
        <v>0.4</v>
      </c>
      <c r="E376" s="12">
        <v>82.4</v>
      </c>
      <c r="F376" s="12" t="s">
        <v>5</v>
      </c>
      <c r="G376" s="12">
        <v>82.4</v>
      </c>
      <c r="H376" s="12" t="s">
        <v>1293</v>
      </c>
    </row>
    <row r="377" spans="2:8" x14ac:dyDescent="0.3">
      <c r="B377" s="12" t="s">
        <v>634</v>
      </c>
      <c r="C377" s="12">
        <v>84.75</v>
      </c>
      <c r="D377" s="12">
        <v>0.2</v>
      </c>
      <c r="E377" s="12">
        <v>84.75</v>
      </c>
      <c r="F377" s="12" t="s">
        <v>5</v>
      </c>
      <c r="G377" s="12">
        <v>84.55</v>
      </c>
      <c r="H377" s="12" t="s">
        <v>1293</v>
      </c>
    </row>
    <row r="378" spans="2:8" x14ac:dyDescent="0.3">
      <c r="B378" s="12" t="s">
        <v>636</v>
      </c>
      <c r="C378" s="12">
        <v>84.85</v>
      </c>
      <c r="D378" s="12">
        <v>0.2</v>
      </c>
      <c r="E378" s="12">
        <v>84.85</v>
      </c>
      <c r="F378" s="12" t="s">
        <v>5</v>
      </c>
      <c r="G378" s="12">
        <v>84.65</v>
      </c>
      <c r="H378" s="12" t="s">
        <v>1293</v>
      </c>
    </row>
    <row r="379" spans="2:8" x14ac:dyDescent="0.3">
      <c r="B379" s="12" t="s">
        <v>638</v>
      </c>
      <c r="C379" s="12">
        <v>84.81</v>
      </c>
      <c r="D379" s="12">
        <v>0.2</v>
      </c>
      <c r="E379" s="12">
        <v>84.81</v>
      </c>
      <c r="F379" s="12" t="s">
        <v>5</v>
      </c>
      <c r="G379" s="12">
        <v>84.66</v>
      </c>
      <c r="H379" s="12" t="s">
        <v>1293</v>
      </c>
    </row>
    <row r="380" spans="2:8" x14ac:dyDescent="0.3">
      <c r="B380" s="12" t="s">
        <v>640</v>
      </c>
      <c r="C380" s="12">
        <v>84.69</v>
      </c>
      <c r="D380" s="12">
        <v>0.2</v>
      </c>
      <c r="E380" s="12">
        <v>84.69</v>
      </c>
      <c r="F380" s="12" t="s">
        <v>5</v>
      </c>
      <c r="G380" s="12">
        <v>84.41</v>
      </c>
      <c r="H380" s="12" t="s">
        <v>1293</v>
      </c>
    </row>
    <row r="381" spans="2:8" x14ac:dyDescent="0.3">
      <c r="B381" s="12" t="s">
        <v>642</v>
      </c>
      <c r="C381" s="12">
        <v>74.3</v>
      </c>
      <c r="D381" s="12">
        <v>0.2</v>
      </c>
      <c r="E381" s="12">
        <v>74.3</v>
      </c>
      <c r="F381" s="12" t="s">
        <v>5</v>
      </c>
      <c r="G381" s="12">
        <v>72.81</v>
      </c>
      <c r="H381" s="12" t="s">
        <v>1195</v>
      </c>
    </row>
    <row r="382" spans="2:8" x14ac:dyDescent="0.3">
      <c r="B382" s="12" t="s">
        <v>644</v>
      </c>
      <c r="C382" s="12">
        <v>86.75</v>
      </c>
      <c r="D382" s="12">
        <v>0.2</v>
      </c>
      <c r="E382" s="12">
        <v>86.75</v>
      </c>
      <c r="F382" s="12" t="s">
        <v>5</v>
      </c>
      <c r="G382" s="12">
        <v>86.65</v>
      </c>
      <c r="H382" s="12" t="s">
        <v>1293</v>
      </c>
    </row>
    <row r="383" spans="2:8" x14ac:dyDescent="0.3">
      <c r="B383" s="12" t="s">
        <v>646</v>
      </c>
      <c r="C383" s="12">
        <v>86.75</v>
      </c>
      <c r="D383" s="12">
        <v>0.2</v>
      </c>
      <c r="E383" s="12">
        <v>86.75</v>
      </c>
      <c r="F383" s="12" t="s">
        <v>5</v>
      </c>
      <c r="G383" s="12">
        <v>86.65</v>
      </c>
      <c r="H383" s="12" t="s">
        <v>1293</v>
      </c>
    </row>
    <row r="384" spans="2:8" x14ac:dyDescent="0.3">
      <c r="B384" s="12" t="s">
        <v>648</v>
      </c>
      <c r="C384" s="12">
        <v>87.05</v>
      </c>
      <c r="D384" s="12">
        <v>0.2</v>
      </c>
      <c r="E384" s="12">
        <v>87.05</v>
      </c>
      <c r="F384" s="12" t="s">
        <v>5</v>
      </c>
      <c r="G384" s="12">
        <v>86.95</v>
      </c>
      <c r="H384" s="12" t="s">
        <v>1293</v>
      </c>
    </row>
    <row r="385" spans="2:8" x14ac:dyDescent="0.3">
      <c r="B385" s="12" t="s">
        <v>650</v>
      </c>
      <c r="C385" s="12">
        <v>87.04</v>
      </c>
      <c r="D385" s="12">
        <v>0.2</v>
      </c>
      <c r="E385" s="12">
        <v>87.04</v>
      </c>
      <c r="F385" s="12" t="s">
        <v>5</v>
      </c>
      <c r="G385" s="12">
        <v>86.94</v>
      </c>
      <c r="H385" s="12" t="s">
        <v>1293</v>
      </c>
    </row>
    <row r="386" spans="2:8" ht="15.75" customHeight="1" x14ac:dyDescent="0.3">
      <c r="B386" s="12" t="s">
        <v>652</v>
      </c>
      <c r="C386" s="12">
        <v>87.03</v>
      </c>
      <c r="D386" s="12">
        <v>0.2</v>
      </c>
      <c r="E386" s="12">
        <v>87.03</v>
      </c>
      <c r="F386" s="12" t="s">
        <v>5</v>
      </c>
      <c r="G386" s="12">
        <v>86.83</v>
      </c>
      <c r="H386" s="12" t="s">
        <v>1293</v>
      </c>
    </row>
    <row r="387" spans="2:8" x14ac:dyDescent="0.3">
      <c r="B387" s="12" t="s">
        <v>654</v>
      </c>
      <c r="C387" s="12">
        <v>86.97</v>
      </c>
      <c r="D387" s="12">
        <v>0.2</v>
      </c>
      <c r="E387" s="12">
        <v>86.97</v>
      </c>
      <c r="F387" s="12" t="s">
        <v>5</v>
      </c>
      <c r="G387" s="12">
        <v>86.77</v>
      </c>
      <c r="H387" s="12" t="s">
        <v>1293</v>
      </c>
    </row>
    <row r="388" spans="2:8" x14ac:dyDescent="0.3">
      <c r="B388" s="12" t="s">
        <v>656</v>
      </c>
      <c r="C388" s="12">
        <v>76.09</v>
      </c>
      <c r="D388" s="12">
        <v>0.2</v>
      </c>
      <c r="E388" s="12">
        <v>76.09</v>
      </c>
      <c r="F388" s="12" t="s">
        <v>5</v>
      </c>
      <c r="G388" s="12">
        <v>75.89</v>
      </c>
      <c r="H388" s="12" t="s">
        <v>1293</v>
      </c>
    </row>
    <row r="389" spans="2:8" x14ac:dyDescent="0.3">
      <c r="B389" s="12" t="s">
        <v>658</v>
      </c>
      <c r="C389" s="12">
        <v>74.319999999999993</v>
      </c>
      <c r="D389" s="12">
        <v>0.2</v>
      </c>
      <c r="E389" s="12">
        <v>74.319999999999993</v>
      </c>
      <c r="F389" s="12" t="s">
        <v>5</v>
      </c>
      <c r="G389" s="12">
        <v>74.22</v>
      </c>
      <c r="H389" s="12" t="s">
        <v>1293</v>
      </c>
    </row>
    <row r="390" spans="2:8" x14ac:dyDescent="0.3">
      <c r="B390" s="12" t="s">
        <v>660</v>
      </c>
      <c r="C390" s="12">
        <v>74.31</v>
      </c>
      <c r="D390" s="12">
        <v>0.2</v>
      </c>
      <c r="E390" s="12">
        <v>74.31</v>
      </c>
      <c r="F390" s="12" t="s">
        <v>5</v>
      </c>
      <c r="G390" s="12">
        <v>74.209999999999994</v>
      </c>
      <c r="H390" s="12" t="s">
        <v>1293</v>
      </c>
    </row>
    <row r="391" spans="2:8" x14ac:dyDescent="0.3">
      <c r="B391" s="12" t="s">
        <v>662</v>
      </c>
      <c r="C391" s="12">
        <v>72.55</v>
      </c>
      <c r="D391" s="12">
        <v>0.2</v>
      </c>
      <c r="E391" s="12">
        <v>72.55</v>
      </c>
      <c r="F391" s="12" t="s">
        <v>5</v>
      </c>
      <c r="G391" s="12">
        <v>72.45</v>
      </c>
      <c r="H391" s="12" t="s">
        <v>1293</v>
      </c>
    </row>
    <row r="392" spans="2:8" x14ac:dyDescent="0.3">
      <c r="B392" s="12" t="s">
        <v>664</v>
      </c>
      <c r="C392" s="12">
        <v>72.55</v>
      </c>
      <c r="D392" s="12">
        <v>0.2</v>
      </c>
      <c r="E392" s="12">
        <v>72.55</v>
      </c>
      <c r="F392" s="12" t="s">
        <v>5</v>
      </c>
      <c r="G392" s="12">
        <v>72.45</v>
      </c>
      <c r="H392" s="12" t="s">
        <v>1293</v>
      </c>
    </row>
    <row r="393" spans="2:8" x14ac:dyDescent="0.3">
      <c r="B393" s="12" t="s">
        <v>666</v>
      </c>
      <c r="C393" s="12">
        <v>70.75</v>
      </c>
      <c r="D393" s="12">
        <v>0.2</v>
      </c>
      <c r="E393" s="12">
        <v>70.75</v>
      </c>
      <c r="F393" s="12" t="s">
        <v>5</v>
      </c>
      <c r="G393" s="12">
        <v>70.650000000000006</v>
      </c>
      <c r="H393" s="12" t="s">
        <v>1293</v>
      </c>
    </row>
    <row r="394" spans="2:8" x14ac:dyDescent="0.3">
      <c r="B394" s="12" t="s">
        <v>668</v>
      </c>
      <c r="C394" s="12">
        <v>70.790000000000006</v>
      </c>
      <c r="D394" s="12">
        <v>0.2</v>
      </c>
      <c r="E394" s="12">
        <v>70.790000000000006</v>
      </c>
      <c r="F394" s="12" t="s">
        <v>5</v>
      </c>
      <c r="G394" s="12">
        <v>70.69</v>
      </c>
      <c r="H394" s="12" t="s">
        <v>1293</v>
      </c>
    </row>
    <row r="395" spans="2:8" x14ac:dyDescent="0.3">
      <c r="B395" s="12" t="s">
        <v>670</v>
      </c>
      <c r="C395" s="12">
        <v>68.989999999999995</v>
      </c>
      <c r="D395" s="12">
        <v>0.2</v>
      </c>
      <c r="E395" s="12">
        <v>68.989999999999995</v>
      </c>
      <c r="F395" s="12" t="s">
        <v>5</v>
      </c>
      <c r="G395" s="12">
        <v>68.89</v>
      </c>
      <c r="H395" s="12" t="s">
        <v>1293</v>
      </c>
    </row>
    <row r="396" spans="2:8" x14ac:dyDescent="0.3">
      <c r="B396" s="12" t="s">
        <v>672</v>
      </c>
      <c r="C396" s="12">
        <v>69.010000000000005</v>
      </c>
      <c r="D396" s="12">
        <v>0.2</v>
      </c>
      <c r="E396" s="12">
        <v>69.010000000000005</v>
      </c>
      <c r="F396" s="12" t="s">
        <v>5</v>
      </c>
      <c r="G396" s="12">
        <v>68.91</v>
      </c>
      <c r="H396" s="12" t="s">
        <v>1293</v>
      </c>
    </row>
    <row r="397" spans="2:8" x14ac:dyDescent="0.3">
      <c r="B397" s="12" t="s">
        <v>674</v>
      </c>
      <c r="C397" s="12">
        <v>67.25</v>
      </c>
      <c r="D397" s="12">
        <v>0.2</v>
      </c>
      <c r="E397" s="12">
        <v>67.25</v>
      </c>
      <c r="F397" s="12" t="s">
        <v>5</v>
      </c>
      <c r="G397" s="12">
        <v>67.150000000000006</v>
      </c>
      <c r="H397" s="12" t="s">
        <v>1293</v>
      </c>
    </row>
    <row r="398" spans="2:8" x14ac:dyDescent="0.3">
      <c r="B398" s="12" t="s">
        <v>676</v>
      </c>
      <c r="C398" s="12">
        <v>67.260000000000005</v>
      </c>
      <c r="D398" s="12">
        <v>0.2</v>
      </c>
      <c r="E398" s="12">
        <v>67.260000000000005</v>
      </c>
      <c r="F398" s="12" t="s">
        <v>5</v>
      </c>
      <c r="G398" s="12">
        <v>67.16</v>
      </c>
      <c r="H398" s="12" t="s">
        <v>1293</v>
      </c>
    </row>
    <row r="399" spans="2:8" x14ac:dyDescent="0.3">
      <c r="B399" s="12" t="s">
        <v>678</v>
      </c>
      <c r="C399" s="12">
        <v>65.47</v>
      </c>
      <c r="D399" s="12">
        <v>0.2</v>
      </c>
      <c r="E399" s="12">
        <v>65.47</v>
      </c>
      <c r="F399" s="12" t="s">
        <v>5</v>
      </c>
      <c r="G399" s="12">
        <v>65.37</v>
      </c>
      <c r="H399" s="12" t="s">
        <v>1293</v>
      </c>
    </row>
    <row r="400" spans="2:8" x14ac:dyDescent="0.3">
      <c r="B400" s="12" t="s">
        <v>680</v>
      </c>
      <c r="C400" s="12">
        <v>65.48</v>
      </c>
      <c r="D400" s="12">
        <v>0.2</v>
      </c>
      <c r="E400" s="12">
        <v>65.48</v>
      </c>
      <c r="F400" s="12" t="s">
        <v>5</v>
      </c>
      <c r="G400" s="12">
        <v>65.38</v>
      </c>
      <c r="H400" s="12" t="s">
        <v>1293</v>
      </c>
    </row>
    <row r="401" spans="2:8" x14ac:dyDescent="0.3">
      <c r="B401" s="12" t="s">
        <v>682</v>
      </c>
      <c r="C401" s="12">
        <v>63.67</v>
      </c>
      <c r="D401" s="12">
        <v>0.2</v>
      </c>
      <c r="E401" s="12">
        <v>63.67</v>
      </c>
      <c r="F401" s="12" t="s">
        <v>5</v>
      </c>
      <c r="G401" s="12">
        <v>63.57</v>
      </c>
      <c r="H401" s="12" t="s">
        <v>1293</v>
      </c>
    </row>
    <row r="402" spans="2:8" x14ac:dyDescent="0.3">
      <c r="B402" s="12" t="s">
        <v>684</v>
      </c>
      <c r="C402" s="12">
        <v>63.65</v>
      </c>
      <c r="D402" s="12">
        <v>0.2</v>
      </c>
      <c r="E402" s="12">
        <v>63.65</v>
      </c>
      <c r="F402" s="12" t="s">
        <v>5</v>
      </c>
      <c r="G402" s="12">
        <v>63.55</v>
      </c>
      <c r="H402" s="12" t="s">
        <v>1293</v>
      </c>
    </row>
    <row r="403" spans="2:8" x14ac:dyDescent="0.3">
      <c r="B403" s="12" t="s">
        <v>686</v>
      </c>
      <c r="C403" s="12">
        <v>61.7</v>
      </c>
      <c r="D403" s="12">
        <v>0.2</v>
      </c>
      <c r="E403" s="12">
        <v>61.7</v>
      </c>
      <c r="F403" s="12" t="s">
        <v>5</v>
      </c>
      <c r="G403" s="12">
        <v>61.57</v>
      </c>
      <c r="H403" s="12" t="s">
        <v>1293</v>
      </c>
    </row>
    <row r="404" spans="2:8" x14ac:dyDescent="0.3">
      <c r="B404" s="12" t="s">
        <v>688</v>
      </c>
      <c r="C404" s="12">
        <v>61.7</v>
      </c>
      <c r="D404" s="12">
        <v>0.2</v>
      </c>
      <c r="E404" s="12">
        <v>61.7</v>
      </c>
      <c r="F404" s="12" t="s">
        <v>5</v>
      </c>
      <c r="G404" s="12">
        <v>61.58</v>
      </c>
      <c r="H404" s="12" t="s">
        <v>1293</v>
      </c>
    </row>
    <row r="405" spans="2:8" x14ac:dyDescent="0.3">
      <c r="B405" s="12" t="s">
        <v>690</v>
      </c>
      <c r="C405" s="12">
        <v>60.01</v>
      </c>
      <c r="D405" s="12">
        <v>0.2</v>
      </c>
      <c r="E405" s="12">
        <v>60.01</v>
      </c>
      <c r="F405" s="12" t="s">
        <v>5</v>
      </c>
      <c r="G405" s="12">
        <v>59.81</v>
      </c>
      <c r="H405" s="12" t="s">
        <v>1293</v>
      </c>
    </row>
    <row r="406" spans="2:8" x14ac:dyDescent="0.3">
      <c r="B406" s="12" t="s">
        <v>692</v>
      </c>
      <c r="C406" s="12">
        <v>60.05</v>
      </c>
      <c r="D406" s="12">
        <v>0.2</v>
      </c>
      <c r="E406" s="12">
        <v>60.05</v>
      </c>
      <c r="F406" s="12" t="s">
        <v>5</v>
      </c>
      <c r="G406" s="12">
        <v>59.95</v>
      </c>
      <c r="H406" s="12" t="s">
        <v>1293</v>
      </c>
    </row>
    <row r="407" spans="2:8" x14ac:dyDescent="0.3">
      <c r="B407" s="12" t="s">
        <v>694</v>
      </c>
      <c r="C407" s="12">
        <v>60.04</v>
      </c>
      <c r="D407" s="12">
        <v>0.2</v>
      </c>
      <c r="E407" s="12">
        <v>60.04</v>
      </c>
      <c r="F407" s="12" t="s">
        <v>5</v>
      </c>
      <c r="G407" s="12">
        <v>59.84</v>
      </c>
      <c r="H407" s="12" t="s">
        <v>1293</v>
      </c>
    </row>
    <row r="408" spans="2:8" x14ac:dyDescent="0.3">
      <c r="B408" s="12" t="s">
        <v>696</v>
      </c>
      <c r="C408" s="12">
        <v>53.07</v>
      </c>
      <c r="D408" s="12">
        <v>0.2</v>
      </c>
      <c r="E408" s="12">
        <v>53.07</v>
      </c>
      <c r="F408" s="12" t="s">
        <v>5</v>
      </c>
      <c r="G408" s="12">
        <v>49.52</v>
      </c>
      <c r="H408" s="12" t="s">
        <v>1195</v>
      </c>
    </row>
    <row r="409" spans="2:8" x14ac:dyDescent="0.3">
      <c r="B409" s="12" t="s">
        <v>698</v>
      </c>
      <c r="C409" s="12">
        <v>54.71</v>
      </c>
      <c r="D409" s="12">
        <v>0.2</v>
      </c>
      <c r="E409" s="12">
        <v>54.71</v>
      </c>
      <c r="F409" s="12" t="s">
        <v>5</v>
      </c>
      <c r="G409" s="12">
        <v>47.65</v>
      </c>
      <c r="H409" s="12" t="s">
        <v>1195</v>
      </c>
    </row>
    <row r="410" spans="2:8" x14ac:dyDescent="0.3">
      <c r="B410" s="12" t="s">
        <v>700</v>
      </c>
      <c r="C410" s="12">
        <v>83.02</v>
      </c>
      <c r="D410" s="12">
        <v>0.2</v>
      </c>
      <c r="E410" s="12">
        <v>83.02</v>
      </c>
      <c r="F410" s="12" t="s">
        <v>5</v>
      </c>
      <c r="G410" s="12">
        <v>82.92</v>
      </c>
      <c r="H410" s="12" t="s">
        <v>1293</v>
      </c>
    </row>
    <row r="411" spans="2:8" x14ac:dyDescent="0.3">
      <c r="B411" s="12" t="s">
        <v>702</v>
      </c>
      <c r="C411" s="12">
        <v>83.23</v>
      </c>
      <c r="D411" s="12">
        <v>0.2</v>
      </c>
      <c r="E411" s="12">
        <v>83.23</v>
      </c>
      <c r="F411" s="12" t="s">
        <v>5</v>
      </c>
      <c r="G411" s="12">
        <v>83.02</v>
      </c>
      <c r="H411" s="12" t="s">
        <v>1293</v>
      </c>
    </row>
    <row r="412" spans="2:8" x14ac:dyDescent="0.3">
      <c r="B412" s="12" t="s">
        <v>704</v>
      </c>
      <c r="C412" s="12">
        <v>82.71</v>
      </c>
      <c r="D412" s="12">
        <v>0.2</v>
      </c>
      <c r="E412" s="12">
        <v>82.71</v>
      </c>
      <c r="F412" s="12" t="s">
        <v>5</v>
      </c>
      <c r="G412" s="12">
        <v>81.84</v>
      </c>
      <c r="H412" s="12" t="s">
        <v>1195</v>
      </c>
    </row>
    <row r="413" spans="2:8" x14ac:dyDescent="0.3">
      <c r="B413" s="12" t="s">
        <v>706</v>
      </c>
      <c r="C413" s="12">
        <v>82.71</v>
      </c>
      <c r="D413" s="12">
        <v>0.2</v>
      </c>
      <c r="E413" s="12">
        <v>82.71</v>
      </c>
      <c r="F413" s="12" t="s">
        <v>5</v>
      </c>
      <c r="G413" s="12">
        <v>81.81</v>
      </c>
      <c r="H413" s="12" t="s">
        <v>1195</v>
      </c>
    </row>
    <row r="414" spans="2:8" x14ac:dyDescent="0.3">
      <c r="B414" s="12" t="s">
        <v>708</v>
      </c>
      <c r="C414" s="12">
        <v>83.48</v>
      </c>
      <c r="D414" s="12">
        <v>0.2</v>
      </c>
      <c r="E414" s="12">
        <v>83.48</v>
      </c>
      <c r="F414" s="12" t="s">
        <v>5</v>
      </c>
      <c r="G414" s="12">
        <v>83.28</v>
      </c>
      <c r="H414" s="12" t="s">
        <v>1293</v>
      </c>
    </row>
    <row r="415" spans="2:8" x14ac:dyDescent="0.3">
      <c r="B415" s="12" t="s">
        <v>710</v>
      </c>
      <c r="C415" s="12">
        <v>83.42</v>
      </c>
      <c r="D415" s="12">
        <v>0.2</v>
      </c>
      <c r="E415" s="12">
        <v>83.42</v>
      </c>
      <c r="F415" s="12" t="s">
        <v>5</v>
      </c>
      <c r="G415" s="12">
        <v>83.22</v>
      </c>
      <c r="H415" s="12" t="s">
        <v>1293</v>
      </c>
    </row>
    <row r="416" spans="2:8" x14ac:dyDescent="0.3">
      <c r="B416" s="12" t="s">
        <v>712</v>
      </c>
      <c r="C416" s="12">
        <v>83.57</v>
      </c>
      <c r="D416" s="12">
        <v>0.2</v>
      </c>
      <c r="E416" s="12">
        <v>83.57</v>
      </c>
      <c r="F416" s="12" t="s">
        <v>5</v>
      </c>
      <c r="G416" s="12">
        <v>83.37</v>
      </c>
      <c r="H416" s="12" t="s">
        <v>1293</v>
      </c>
    </row>
    <row r="417" spans="2:8" s="1" customFormat="1" x14ac:dyDescent="0.3">
      <c r="B417" s="12" t="s">
        <v>714</v>
      </c>
      <c r="C417" s="12">
        <v>83.5</v>
      </c>
      <c r="D417" s="12">
        <v>0.2</v>
      </c>
      <c r="E417" s="12">
        <v>83.5</v>
      </c>
      <c r="F417" s="12" t="s">
        <v>5</v>
      </c>
      <c r="G417" s="12">
        <v>83.3</v>
      </c>
      <c r="H417" s="12" t="s">
        <v>1293</v>
      </c>
    </row>
    <row r="418" spans="2:8" x14ac:dyDescent="0.3">
      <c r="B418" s="12" t="s">
        <v>716</v>
      </c>
      <c r="C418" s="12">
        <v>40.46</v>
      </c>
      <c r="D418" s="12">
        <v>0.2</v>
      </c>
      <c r="E418" s="12">
        <v>40.46</v>
      </c>
      <c r="F418" s="12" t="s">
        <v>5</v>
      </c>
      <c r="G418" s="12">
        <v>40.29</v>
      </c>
      <c r="H418" s="12" t="s">
        <v>1293</v>
      </c>
    </row>
    <row r="419" spans="2:8" x14ac:dyDescent="0.3">
      <c r="B419" s="12" t="s">
        <v>1225</v>
      </c>
      <c r="C419" s="12">
        <v>46.68</v>
      </c>
      <c r="D419" s="12">
        <v>0.2</v>
      </c>
      <c r="E419" s="12">
        <v>46.68</v>
      </c>
      <c r="F419" s="12" t="s">
        <v>5</v>
      </c>
      <c r="G419" s="12">
        <v>46.48</v>
      </c>
      <c r="H419" s="12" t="s">
        <v>1293</v>
      </c>
    </row>
    <row r="420" spans="2:8" x14ac:dyDescent="0.3">
      <c r="B420" s="12" t="s">
        <v>1226</v>
      </c>
      <c r="C420" s="12">
        <v>46.89</v>
      </c>
      <c r="D420" s="12">
        <v>0.2</v>
      </c>
      <c r="E420" s="12">
        <v>46.89</v>
      </c>
      <c r="F420" s="12" t="s">
        <v>5</v>
      </c>
      <c r="G420" s="12">
        <v>46.69</v>
      </c>
      <c r="H420" s="12" t="s">
        <v>1293</v>
      </c>
    </row>
    <row r="421" spans="2:8" x14ac:dyDescent="0.3">
      <c r="B421" s="12" t="s">
        <v>1227</v>
      </c>
      <c r="C421" s="12">
        <v>60.02</v>
      </c>
      <c r="D421" s="12">
        <v>0.2</v>
      </c>
      <c r="E421" s="12">
        <v>60.02</v>
      </c>
      <c r="F421" s="12" t="s">
        <v>5</v>
      </c>
      <c r="G421" s="12">
        <v>59.82</v>
      </c>
      <c r="H421" s="12" t="s">
        <v>1293</v>
      </c>
    </row>
    <row r="422" spans="2:8" x14ac:dyDescent="0.3">
      <c r="B422" s="12" t="s">
        <v>1228</v>
      </c>
      <c r="C422" s="12">
        <v>58.4</v>
      </c>
      <c r="D422" s="12">
        <v>0.2</v>
      </c>
      <c r="E422" s="12">
        <v>59.15</v>
      </c>
      <c r="F422" s="12" t="s">
        <v>5</v>
      </c>
      <c r="G422" s="12">
        <v>58.17</v>
      </c>
      <c r="H422" s="12" t="s">
        <v>1195</v>
      </c>
    </row>
    <row r="423" spans="2:8" x14ac:dyDescent="0.3">
      <c r="B423" s="12" t="s">
        <v>1229</v>
      </c>
      <c r="C423" s="12">
        <v>57.69</v>
      </c>
      <c r="D423" s="12">
        <v>0.2</v>
      </c>
      <c r="E423" s="12">
        <v>58.65</v>
      </c>
      <c r="F423" s="12" t="s">
        <v>5</v>
      </c>
      <c r="G423" s="12">
        <v>57.49</v>
      </c>
      <c r="H423" s="12" t="s">
        <v>1195</v>
      </c>
    </row>
    <row r="424" spans="2:8" x14ac:dyDescent="0.3">
      <c r="B424" s="12" t="s">
        <v>1230</v>
      </c>
      <c r="C424" s="12">
        <v>58.03</v>
      </c>
      <c r="D424" s="12">
        <v>0.2</v>
      </c>
      <c r="E424" s="12">
        <v>58.03</v>
      </c>
      <c r="F424" s="12" t="s">
        <v>5</v>
      </c>
      <c r="G424" s="12">
        <v>57.83</v>
      </c>
      <c r="H424" s="12" t="s">
        <v>1293</v>
      </c>
    </row>
    <row r="425" spans="2:8" x14ac:dyDescent="0.3">
      <c r="B425" s="12" t="s">
        <v>1231</v>
      </c>
      <c r="C425" s="12">
        <v>58.01</v>
      </c>
      <c r="D425" s="12">
        <v>0.2</v>
      </c>
      <c r="E425" s="12">
        <v>58.01</v>
      </c>
      <c r="F425" s="12" t="s">
        <v>5</v>
      </c>
      <c r="G425" s="12">
        <v>57.81</v>
      </c>
      <c r="H425" s="12" t="s">
        <v>1293</v>
      </c>
    </row>
    <row r="426" spans="2:8" x14ac:dyDescent="0.3">
      <c r="B426" s="12" t="s">
        <v>1232</v>
      </c>
      <c r="C426" s="12">
        <v>57.96</v>
      </c>
      <c r="D426" s="12">
        <v>0.2</v>
      </c>
      <c r="E426" s="12">
        <v>59.03</v>
      </c>
      <c r="F426" s="12" t="s">
        <v>5</v>
      </c>
      <c r="G426" s="12">
        <v>57.76</v>
      </c>
      <c r="H426" s="12" t="s">
        <v>1195</v>
      </c>
    </row>
    <row r="427" spans="2:8" x14ac:dyDescent="0.3">
      <c r="B427" s="12" t="s">
        <v>1233</v>
      </c>
      <c r="C427" s="12">
        <v>83.27</v>
      </c>
      <c r="D427" s="12">
        <v>0.2</v>
      </c>
      <c r="E427" s="12">
        <v>83.27</v>
      </c>
      <c r="F427" s="12" t="s">
        <v>5</v>
      </c>
      <c r="G427" s="12">
        <v>83.07</v>
      </c>
      <c r="H427" s="12" t="s">
        <v>1293</v>
      </c>
    </row>
    <row r="428" spans="2:8" x14ac:dyDescent="0.3">
      <c r="B428" s="12" t="s">
        <v>1234</v>
      </c>
      <c r="C428" s="12">
        <v>83.16</v>
      </c>
      <c r="D428" s="12">
        <v>0.2</v>
      </c>
      <c r="E428" s="12">
        <v>83.16</v>
      </c>
      <c r="F428" s="12" t="s">
        <v>5</v>
      </c>
      <c r="G428" s="12">
        <v>82.96</v>
      </c>
      <c r="H428" s="12" t="s">
        <v>1293</v>
      </c>
    </row>
    <row r="429" spans="2:8" x14ac:dyDescent="0.3">
      <c r="B429" s="12" t="s">
        <v>1235</v>
      </c>
      <c r="C429" s="12">
        <v>83.13</v>
      </c>
      <c r="D429" s="12">
        <v>0.2</v>
      </c>
      <c r="E429" s="12">
        <v>83.13</v>
      </c>
      <c r="F429" s="12" t="s">
        <v>5</v>
      </c>
      <c r="G429" s="12">
        <v>82.93</v>
      </c>
      <c r="H429" s="12" t="s">
        <v>1293</v>
      </c>
    </row>
    <row r="430" spans="2:8" x14ac:dyDescent="0.3">
      <c r="B430" s="12" t="s">
        <v>1236</v>
      </c>
      <c r="C430" s="12">
        <v>82.94</v>
      </c>
      <c r="D430" s="12">
        <v>0.2</v>
      </c>
      <c r="E430" s="12">
        <v>82.94</v>
      </c>
      <c r="F430" s="12" t="s">
        <v>5</v>
      </c>
      <c r="G430" s="12">
        <v>82.74</v>
      </c>
      <c r="H430" s="12" t="s">
        <v>1293</v>
      </c>
    </row>
    <row r="431" spans="2:8" x14ac:dyDescent="0.3">
      <c r="B431" s="12" t="s">
        <v>1237</v>
      </c>
      <c r="C431" s="12">
        <v>82.85</v>
      </c>
      <c r="D431" s="12">
        <v>0.2</v>
      </c>
      <c r="E431" s="12">
        <v>82.85</v>
      </c>
      <c r="F431" s="12" t="s">
        <v>5</v>
      </c>
      <c r="G431" s="12">
        <v>82.65</v>
      </c>
      <c r="H431" s="12" t="s">
        <v>1293</v>
      </c>
    </row>
    <row r="432" spans="2:8" x14ac:dyDescent="0.3">
      <c r="B432" s="12" t="s">
        <v>1238</v>
      </c>
      <c r="C432" s="12">
        <v>82.83</v>
      </c>
      <c r="D432" s="12">
        <v>0.2</v>
      </c>
      <c r="E432" s="12">
        <v>82.83</v>
      </c>
      <c r="F432" s="12" t="s">
        <v>5</v>
      </c>
      <c r="G432" s="12">
        <v>82.63</v>
      </c>
      <c r="H432" s="12" t="s">
        <v>1293</v>
      </c>
    </row>
    <row r="433" spans="2:8" x14ac:dyDescent="0.3">
      <c r="B433" s="12" t="s">
        <v>1239</v>
      </c>
      <c r="C433" s="12">
        <v>82.75</v>
      </c>
      <c r="D433" s="12">
        <v>0.2</v>
      </c>
      <c r="E433" s="12">
        <v>82.75</v>
      </c>
      <c r="F433" s="12" t="s">
        <v>5</v>
      </c>
      <c r="G433" s="12">
        <v>82.55</v>
      </c>
      <c r="H433" s="12" t="s">
        <v>1293</v>
      </c>
    </row>
    <row r="434" spans="2:8" x14ac:dyDescent="0.3">
      <c r="B434" s="12" t="s">
        <v>1240</v>
      </c>
      <c r="C434" s="12">
        <v>82.48</v>
      </c>
      <c r="D434" s="12">
        <v>0.2</v>
      </c>
      <c r="E434" s="12">
        <v>82.48</v>
      </c>
      <c r="F434" s="12" t="s">
        <v>5</v>
      </c>
      <c r="G434" s="12">
        <v>82.28</v>
      </c>
      <c r="H434" s="12" t="s">
        <v>1293</v>
      </c>
    </row>
    <row r="435" spans="2:8" x14ac:dyDescent="0.3">
      <c r="B435" s="12" t="s">
        <v>1241</v>
      </c>
      <c r="C435" s="12">
        <v>82.58</v>
      </c>
      <c r="D435" s="12">
        <v>0.2</v>
      </c>
      <c r="E435" s="12">
        <v>82.58</v>
      </c>
      <c r="F435" s="12" t="s">
        <v>5</v>
      </c>
      <c r="G435" s="12">
        <v>82.38</v>
      </c>
      <c r="H435" s="12" t="s">
        <v>1293</v>
      </c>
    </row>
    <row r="436" spans="2:8" x14ac:dyDescent="0.3">
      <c r="B436" s="12" t="s">
        <v>1242</v>
      </c>
      <c r="C436" s="12">
        <v>82.99</v>
      </c>
      <c r="D436" s="12">
        <v>0.2</v>
      </c>
      <c r="E436" s="12">
        <v>82.99</v>
      </c>
      <c r="F436" s="12" t="s">
        <v>5</v>
      </c>
      <c r="G436" s="12">
        <v>82.79</v>
      </c>
      <c r="H436" s="12" t="s">
        <v>1293</v>
      </c>
    </row>
    <row r="437" spans="2:8" x14ac:dyDescent="0.3">
      <c r="B437" s="12" t="s">
        <v>1243</v>
      </c>
      <c r="C437" s="12">
        <v>82.9</v>
      </c>
      <c r="D437" s="12">
        <v>0.2</v>
      </c>
      <c r="E437" s="12">
        <v>82.9</v>
      </c>
      <c r="F437" s="12" t="s">
        <v>5</v>
      </c>
      <c r="G437" s="12">
        <v>82.7</v>
      </c>
      <c r="H437" s="12" t="s">
        <v>1293</v>
      </c>
    </row>
    <row r="438" spans="2:8" x14ac:dyDescent="0.3">
      <c r="B438" s="12" t="s">
        <v>1244</v>
      </c>
      <c r="C438" s="12">
        <v>82.72</v>
      </c>
      <c r="D438" s="12">
        <v>0.2</v>
      </c>
      <c r="E438" s="12">
        <v>82.72</v>
      </c>
      <c r="F438" s="12" t="s">
        <v>5</v>
      </c>
      <c r="G438" s="12">
        <v>82.52</v>
      </c>
      <c r="H438" s="12" t="s">
        <v>1293</v>
      </c>
    </row>
    <row r="439" spans="2:8" x14ac:dyDescent="0.3">
      <c r="B439" s="12" t="s">
        <v>1245</v>
      </c>
      <c r="C439" s="12">
        <v>82.68</v>
      </c>
      <c r="D439" s="12">
        <v>0.2</v>
      </c>
      <c r="E439" s="12">
        <v>82.68</v>
      </c>
      <c r="F439" s="12" t="s">
        <v>5</v>
      </c>
      <c r="G439" s="12">
        <v>82.48</v>
      </c>
      <c r="H439" s="12" t="s">
        <v>1293</v>
      </c>
    </row>
    <row r="440" spans="2:8" x14ac:dyDescent="0.3">
      <c r="B440" s="12" t="s">
        <v>1246</v>
      </c>
      <c r="C440" s="12">
        <v>82.62</v>
      </c>
      <c r="D440" s="12">
        <v>0.2</v>
      </c>
      <c r="E440" s="12">
        <v>82.62</v>
      </c>
      <c r="F440" s="12" t="s">
        <v>5</v>
      </c>
      <c r="G440" s="12">
        <v>82.42</v>
      </c>
      <c r="H440" s="12" t="s">
        <v>1293</v>
      </c>
    </row>
    <row r="441" spans="2:8" ht="28.8" x14ac:dyDescent="0.3">
      <c r="H441" s="17" t="s">
        <v>1295</v>
      </c>
    </row>
  </sheetData>
  <mergeCells count="5">
    <mergeCell ref="B10:H10"/>
    <mergeCell ref="B5:E5"/>
    <mergeCell ref="B6:E6"/>
    <mergeCell ref="B7:E7"/>
    <mergeCell ref="B8:E8"/>
  </mergeCells>
  <pageMargins left="0.7" right="0.7" top="0.75" bottom="0.75" header="0.3" footer="0.3"/>
  <pageSetup paperSize="9" scale="5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8B6A-49B5-4891-AB1F-7B7F1BAA8E99}">
  <dimension ref="B2:M326"/>
  <sheetViews>
    <sheetView zoomScale="70" zoomScaleNormal="70" workbookViewId="0">
      <selection activeCell="B10" sqref="B10"/>
    </sheetView>
  </sheetViews>
  <sheetFormatPr defaultRowHeight="13.2" x14ac:dyDescent="0.25"/>
  <cols>
    <col min="1" max="1" width="8.88671875" style="22"/>
    <col min="2" max="2" width="86.33203125" style="22" customWidth="1"/>
    <col min="3" max="3" width="25" style="22" customWidth="1"/>
    <col min="4" max="5" width="15.77734375" style="22" customWidth="1"/>
    <col min="6" max="6" width="13.21875" style="22" customWidth="1"/>
    <col min="7" max="7" width="14.77734375" style="22" customWidth="1"/>
    <col min="8" max="8" width="15.6640625" style="22" customWidth="1"/>
    <col min="9" max="9" width="15.77734375" style="22" customWidth="1"/>
    <col min="10" max="10" width="58.21875" style="22" customWidth="1"/>
    <col min="11" max="11" width="13.44140625" style="22" customWidth="1"/>
    <col min="12" max="16384" width="8.88671875" style="22"/>
  </cols>
  <sheetData>
    <row r="2" spans="2:11" ht="23.4" customHeight="1" x14ac:dyDescent="0.25"/>
    <row r="3" spans="2:11" ht="25.2" customHeight="1" x14ac:dyDescent="0.25">
      <c r="B3" s="52" t="s">
        <v>1363</v>
      </c>
      <c r="C3" s="51" t="s">
        <v>1362</v>
      </c>
      <c r="D3" s="51" t="s">
        <v>1367</v>
      </c>
      <c r="E3" s="51" t="s">
        <v>1362</v>
      </c>
      <c r="F3" s="50" t="s">
        <v>1366</v>
      </c>
      <c r="G3" s="50" t="s">
        <v>1365</v>
      </c>
      <c r="H3" s="50" t="s">
        <v>1364</v>
      </c>
      <c r="J3" s="52" t="s">
        <v>1363</v>
      </c>
      <c r="K3" s="51" t="s">
        <v>1362</v>
      </c>
    </row>
    <row r="4" spans="2:11" ht="19.2" x14ac:dyDescent="0.25">
      <c r="B4" s="41" t="s">
        <v>1361</v>
      </c>
      <c r="C4" s="40" t="s">
        <v>1360</v>
      </c>
      <c r="D4" s="40"/>
      <c r="E4" s="40"/>
      <c r="F4" s="50"/>
      <c r="G4" s="50"/>
      <c r="H4" s="50"/>
      <c r="J4" s="41" t="s">
        <v>1359</v>
      </c>
      <c r="K4" s="49"/>
    </row>
    <row r="5" spans="2:11" s="32" customFormat="1" ht="16.95" customHeight="1" x14ac:dyDescent="0.2">
      <c r="B5" s="36" t="s">
        <v>1358</v>
      </c>
      <c r="C5" s="35">
        <v>2155</v>
      </c>
      <c r="D5" s="35">
        <v>3</v>
      </c>
      <c r="E5" s="35">
        <f>K5+K6+K23</f>
        <v>2157</v>
      </c>
      <c r="F5" s="43">
        <f>D5*(237)</f>
        <v>711</v>
      </c>
      <c r="G5" s="38">
        <v>46168</v>
      </c>
      <c r="H5" s="37">
        <v>524152812</v>
      </c>
      <c r="J5" s="45" t="s">
        <v>1358</v>
      </c>
      <c r="K5" s="44">
        <v>711</v>
      </c>
    </row>
    <row r="6" spans="2:11" s="32" customFormat="1" ht="29.4" customHeight="1" x14ac:dyDescent="0.2">
      <c r="B6" s="31" t="s">
        <v>1327</v>
      </c>
      <c r="C6" s="35">
        <v>2155</v>
      </c>
      <c r="D6" s="35">
        <v>6</v>
      </c>
      <c r="E6" s="35">
        <f>K5+K6+K24</f>
        <v>2157</v>
      </c>
      <c r="F6" s="43">
        <f>D6*(100+30)</f>
        <v>780</v>
      </c>
      <c r="G6" s="47" t="s">
        <v>1357</v>
      </c>
      <c r="H6" s="46" t="s">
        <v>1356</v>
      </c>
      <c r="J6" s="45" t="s">
        <v>1327</v>
      </c>
      <c r="K6" s="44">
        <v>780</v>
      </c>
    </row>
    <row r="7" spans="2:11" s="32" customFormat="1" ht="16.95" customHeight="1" x14ac:dyDescent="0.2">
      <c r="B7" s="36" t="s">
        <v>1355</v>
      </c>
      <c r="C7" s="35">
        <v>288.3</v>
      </c>
      <c r="D7" s="35"/>
      <c r="E7" s="35">
        <f>K25</f>
        <v>291</v>
      </c>
      <c r="F7" s="42"/>
      <c r="G7" s="42"/>
      <c r="H7" s="37"/>
      <c r="J7" s="45" t="s">
        <v>1353</v>
      </c>
      <c r="K7" s="44">
        <v>126</v>
      </c>
    </row>
    <row r="8" spans="2:11" s="32" customFormat="1" ht="16.95" customHeight="1" x14ac:dyDescent="0.2">
      <c r="B8" s="31" t="s">
        <v>1325</v>
      </c>
      <c r="C8" s="30">
        <v>288.3</v>
      </c>
      <c r="D8" s="30"/>
      <c r="E8" s="30">
        <f>K26</f>
        <v>294</v>
      </c>
      <c r="F8" s="42"/>
      <c r="G8" s="42"/>
      <c r="H8" s="37"/>
      <c r="J8" s="45" t="s">
        <v>1351</v>
      </c>
      <c r="K8" s="44">
        <v>948</v>
      </c>
    </row>
    <row r="9" spans="2:11" s="32" customFormat="1" ht="16.95" customHeight="1" x14ac:dyDescent="0.2">
      <c r="B9" s="36" t="s">
        <v>1354</v>
      </c>
      <c r="C9" s="35">
        <v>213.1</v>
      </c>
      <c r="D9" s="35"/>
      <c r="E9" s="35">
        <f>K27</f>
        <v>216</v>
      </c>
      <c r="F9" s="42"/>
      <c r="G9" s="42"/>
      <c r="H9" s="37"/>
      <c r="J9" s="45" t="s">
        <v>1321</v>
      </c>
      <c r="K9" s="44">
        <v>60</v>
      </c>
    </row>
    <row r="10" spans="2:11" s="32" customFormat="1" ht="16.95" customHeight="1" x14ac:dyDescent="0.2">
      <c r="B10" s="31" t="s">
        <v>1323</v>
      </c>
      <c r="C10" s="30">
        <v>213.1</v>
      </c>
      <c r="D10" s="30"/>
      <c r="E10" s="30">
        <f>K28</f>
        <v>216</v>
      </c>
      <c r="F10" s="42"/>
      <c r="G10" s="42"/>
      <c r="H10" s="37"/>
      <c r="J10" s="45" t="s">
        <v>1317</v>
      </c>
      <c r="K10" s="44">
        <v>414</v>
      </c>
    </row>
    <row r="11" spans="2:11" s="32" customFormat="1" ht="16.95" customHeight="1" x14ac:dyDescent="0.2">
      <c r="B11" s="31" t="s">
        <v>1353</v>
      </c>
      <c r="C11" s="30">
        <v>126</v>
      </c>
      <c r="D11" s="30">
        <f>6</f>
        <v>6</v>
      </c>
      <c r="E11" s="30">
        <f>K7</f>
        <v>126</v>
      </c>
      <c r="F11" s="43">
        <f>D11*(21)</f>
        <v>126</v>
      </c>
      <c r="G11" s="38">
        <v>46168</v>
      </c>
      <c r="H11" s="37">
        <v>524152808</v>
      </c>
      <c r="J11" s="45" t="s">
        <v>1352</v>
      </c>
      <c r="K11" s="44">
        <v>48</v>
      </c>
    </row>
    <row r="12" spans="2:11" s="32" customFormat="1" ht="51" customHeight="1" x14ac:dyDescent="0.2">
      <c r="B12" s="36" t="s">
        <v>1351</v>
      </c>
      <c r="C12" s="35">
        <v>1310.5</v>
      </c>
      <c r="D12" s="35">
        <v>3</v>
      </c>
      <c r="E12" s="35">
        <f>K8+K9+K18+K29</f>
        <v>1313</v>
      </c>
      <c r="F12" s="43">
        <f>D12*(30+108+70+108)</f>
        <v>948</v>
      </c>
      <c r="G12" s="47" t="s">
        <v>1350</v>
      </c>
      <c r="H12" s="46" t="s">
        <v>1349</v>
      </c>
      <c r="J12" s="45" t="s">
        <v>1336</v>
      </c>
      <c r="K12" s="44">
        <v>162</v>
      </c>
    </row>
    <row r="13" spans="2:11" s="32" customFormat="1" ht="42.6" customHeight="1" x14ac:dyDescent="0.2">
      <c r="B13" s="31" t="s">
        <v>1321</v>
      </c>
      <c r="C13" s="30">
        <v>1310.5</v>
      </c>
      <c r="D13" s="30">
        <v>6</v>
      </c>
      <c r="E13" s="30">
        <f>K8+K9+K18+K30</f>
        <v>1316</v>
      </c>
      <c r="F13" s="43">
        <f>D13*(10+8)</f>
        <v>108</v>
      </c>
      <c r="G13" s="47" t="s">
        <v>1348</v>
      </c>
      <c r="H13" s="46" t="s">
        <v>1347</v>
      </c>
      <c r="J13" s="45" t="s">
        <v>1346</v>
      </c>
      <c r="K13" s="44">
        <f>ROUND(16,0)+2</f>
        <v>18</v>
      </c>
    </row>
    <row r="14" spans="2:11" s="32" customFormat="1" ht="16.95" customHeight="1" x14ac:dyDescent="0.25">
      <c r="B14" s="36" t="s">
        <v>1345</v>
      </c>
      <c r="C14" s="35">
        <v>148.30000000000001</v>
      </c>
      <c r="D14" s="35"/>
      <c r="E14" s="35">
        <f>K19+K31</f>
        <v>150</v>
      </c>
      <c r="F14" s="42"/>
      <c r="G14" s="42"/>
      <c r="H14" s="37"/>
      <c r="J14" s="22"/>
      <c r="K14" s="22"/>
    </row>
    <row r="15" spans="2:11" ht="19.2" x14ac:dyDescent="0.25">
      <c r="B15" s="31" t="s">
        <v>1319</v>
      </c>
      <c r="C15" s="30">
        <v>148.30000000000001</v>
      </c>
      <c r="D15" s="30">
        <f>6</f>
        <v>6</v>
      </c>
      <c r="E15" s="30">
        <f>K19+K32</f>
        <v>150</v>
      </c>
      <c r="F15" s="43">
        <f>D15*(7)</f>
        <v>42</v>
      </c>
      <c r="G15" s="38">
        <v>46172</v>
      </c>
      <c r="H15" s="42">
        <v>524152815</v>
      </c>
      <c r="J15" s="41" t="s">
        <v>1344</v>
      </c>
      <c r="K15" s="40"/>
    </row>
    <row r="16" spans="2:11" s="32" customFormat="1" ht="16.95" customHeight="1" x14ac:dyDescent="0.2">
      <c r="B16" s="36" t="s">
        <v>1343</v>
      </c>
      <c r="C16" s="35">
        <v>581.4</v>
      </c>
      <c r="D16" s="35"/>
      <c r="E16" s="35">
        <f>K10+K16+K33</f>
        <v>582</v>
      </c>
      <c r="F16" s="42"/>
      <c r="G16" s="42"/>
      <c r="H16" s="37"/>
      <c r="J16" s="45" t="s">
        <v>1317</v>
      </c>
      <c r="K16" s="44">
        <f>11*6</f>
        <v>66</v>
      </c>
    </row>
    <row r="17" spans="2:13" s="32" customFormat="1" ht="51" customHeight="1" x14ac:dyDescent="0.2">
      <c r="B17" s="31" t="s">
        <v>1317</v>
      </c>
      <c r="C17" s="30">
        <v>581.4</v>
      </c>
      <c r="D17" s="30">
        <v>6</v>
      </c>
      <c r="E17" s="30">
        <f>K10+K16+K34</f>
        <v>582</v>
      </c>
      <c r="F17" s="43">
        <f>D17*(18+19+32+11)</f>
        <v>480</v>
      </c>
      <c r="G17" s="48" t="s">
        <v>1342</v>
      </c>
      <c r="H17" s="46" t="s">
        <v>1341</v>
      </c>
      <c r="J17" s="45" t="s">
        <v>1315</v>
      </c>
      <c r="K17" s="44">
        <f>13*6</f>
        <v>78</v>
      </c>
    </row>
    <row r="18" spans="2:13" s="32" customFormat="1" ht="28.2" customHeight="1" x14ac:dyDescent="0.2">
      <c r="B18" s="36" t="s">
        <v>1340</v>
      </c>
      <c r="C18" s="35">
        <v>96.2</v>
      </c>
      <c r="D18" s="35">
        <v>3</v>
      </c>
      <c r="E18" s="35">
        <f>K11+K20</f>
        <v>96</v>
      </c>
      <c r="F18" s="43">
        <f>D18*(16+16)</f>
        <v>96</v>
      </c>
      <c r="G18" s="47" t="s">
        <v>1339</v>
      </c>
      <c r="H18" s="46" t="s">
        <v>1338</v>
      </c>
      <c r="J18" s="45" t="s">
        <v>1321</v>
      </c>
      <c r="K18" s="44">
        <f>10*5</f>
        <v>50</v>
      </c>
    </row>
    <row r="19" spans="2:13" s="32" customFormat="1" ht="16.8" customHeight="1" x14ac:dyDescent="0.2">
      <c r="B19" s="31" t="s">
        <v>1337</v>
      </c>
      <c r="C19" s="30">
        <v>96.2</v>
      </c>
      <c r="D19" s="30"/>
      <c r="E19" s="30">
        <f>K11+K20</f>
        <v>96</v>
      </c>
      <c r="F19" s="42"/>
      <c r="G19" s="42"/>
      <c r="H19" s="37"/>
      <c r="J19" s="45" t="s">
        <v>1319</v>
      </c>
      <c r="K19" s="44">
        <v>42</v>
      </c>
    </row>
    <row r="20" spans="2:13" s="32" customFormat="1" ht="40.799999999999997" customHeight="1" x14ac:dyDescent="0.2">
      <c r="B20" s="36" t="s">
        <v>1336</v>
      </c>
      <c r="C20" s="35">
        <v>278.10000000000002</v>
      </c>
      <c r="D20" s="35">
        <v>3</v>
      </c>
      <c r="E20" s="35">
        <f>K12+K17+K35</f>
        <v>279</v>
      </c>
      <c r="F20" s="43">
        <f>D20*(24+6+30)</f>
        <v>180</v>
      </c>
      <c r="G20" s="47" t="s">
        <v>1335</v>
      </c>
      <c r="H20" s="46" t="s">
        <v>1334</v>
      </c>
      <c r="J20" s="45" t="s">
        <v>1333</v>
      </c>
      <c r="K20" s="44">
        <f>8*6</f>
        <v>48</v>
      </c>
    </row>
    <row r="21" spans="2:13" s="32" customFormat="1" ht="16.95" customHeight="1" x14ac:dyDescent="0.2">
      <c r="B21" s="31" t="s">
        <v>1315</v>
      </c>
      <c r="C21" s="30">
        <v>278.10000000000002</v>
      </c>
      <c r="D21" s="30">
        <v>6</v>
      </c>
      <c r="E21" s="30">
        <f>K12+K17+K36</f>
        <v>282</v>
      </c>
      <c r="F21" s="43">
        <f>D21*(10)</f>
        <v>60</v>
      </c>
      <c r="G21" s="38">
        <v>46168</v>
      </c>
      <c r="H21" s="37">
        <v>524152814</v>
      </c>
    </row>
    <row r="22" spans="2:13" ht="19.2" x14ac:dyDescent="0.25">
      <c r="B22" s="36" t="s">
        <v>1332</v>
      </c>
      <c r="C22" s="35">
        <v>16</v>
      </c>
      <c r="D22" s="35"/>
      <c r="E22" s="35">
        <f>K13</f>
        <v>18</v>
      </c>
      <c r="F22" s="42"/>
      <c r="G22" s="42"/>
      <c r="H22" s="42"/>
      <c r="J22" s="41" t="s">
        <v>1331</v>
      </c>
      <c r="K22" s="40"/>
      <c r="L22" s="32"/>
      <c r="M22" s="22" t="s">
        <v>1330</v>
      </c>
    </row>
    <row r="23" spans="2:13" s="32" customFormat="1" ht="16.95" customHeight="1" x14ac:dyDescent="0.2">
      <c r="B23" s="31" t="s">
        <v>1329</v>
      </c>
      <c r="C23" s="30">
        <v>16</v>
      </c>
      <c r="D23" s="30">
        <v>6</v>
      </c>
      <c r="E23" s="30">
        <f>K13</f>
        <v>18</v>
      </c>
      <c r="F23" s="39">
        <f>3*6</f>
        <v>18</v>
      </c>
      <c r="G23" s="38">
        <v>46168</v>
      </c>
      <c r="H23" s="37">
        <v>524152809</v>
      </c>
      <c r="J23" s="36" t="s">
        <v>1328</v>
      </c>
      <c r="K23" s="35">
        <f>ROUND((2155-K5-K6),0)+2</f>
        <v>666</v>
      </c>
      <c r="M23" s="34">
        <f>K23/3</f>
        <v>222</v>
      </c>
    </row>
    <row r="24" spans="2:13" s="32" customFormat="1" ht="16.95" customHeight="1" x14ac:dyDescent="0.2">
      <c r="B24" s="31" t="s">
        <v>1314</v>
      </c>
      <c r="C24" s="30">
        <v>680</v>
      </c>
      <c r="D24" s="30"/>
      <c r="E24" s="30">
        <f t="shared" ref="E24:E35" si="0">K37</f>
        <v>680</v>
      </c>
      <c r="F24" s="37"/>
      <c r="G24" s="37"/>
      <c r="H24" s="37"/>
      <c r="J24" s="31" t="s">
        <v>1327</v>
      </c>
      <c r="K24" s="30">
        <f>ROUND((2155-K6-K5),0)+2</f>
        <v>666</v>
      </c>
      <c r="M24" s="34">
        <f>K24/6</f>
        <v>111</v>
      </c>
    </row>
    <row r="25" spans="2:13" s="32" customFormat="1" ht="16.95" customHeight="1" x14ac:dyDescent="0.2">
      <c r="B25" s="31" t="s">
        <v>1313</v>
      </c>
      <c r="C25" s="30">
        <v>6</v>
      </c>
      <c r="D25" s="30"/>
      <c r="E25" s="30">
        <f t="shared" si="0"/>
        <v>6</v>
      </c>
      <c r="F25" s="37"/>
      <c r="G25" s="37"/>
      <c r="H25" s="37"/>
      <c r="J25" s="36" t="s">
        <v>1326</v>
      </c>
      <c r="K25" s="35">
        <f>ROUND(288.3,0)+3</f>
        <v>291</v>
      </c>
      <c r="M25" s="34">
        <f>K25/3</f>
        <v>97</v>
      </c>
    </row>
    <row r="26" spans="2:13" s="32" customFormat="1" ht="16.95" customHeight="1" x14ac:dyDescent="0.2">
      <c r="B26" s="31" t="s">
        <v>1312</v>
      </c>
      <c r="C26" s="30">
        <v>1</v>
      </c>
      <c r="D26" s="30"/>
      <c r="E26" s="30">
        <f t="shared" si="0"/>
        <v>1</v>
      </c>
      <c r="F26" s="37"/>
      <c r="G26" s="37"/>
      <c r="H26" s="37"/>
      <c r="J26" s="31" t="s">
        <v>1325</v>
      </c>
      <c r="K26" s="30">
        <f>ROUND(288.3,0)+6</f>
        <v>294</v>
      </c>
      <c r="M26" s="34">
        <f>K26/6</f>
        <v>49</v>
      </c>
    </row>
    <row r="27" spans="2:13" s="32" customFormat="1" ht="16.95" customHeight="1" x14ac:dyDescent="0.2">
      <c r="B27" s="31" t="s">
        <v>1311</v>
      </c>
      <c r="C27" s="30">
        <v>5</v>
      </c>
      <c r="D27" s="30"/>
      <c r="E27" s="30">
        <f t="shared" si="0"/>
        <v>5</v>
      </c>
      <c r="F27" s="37"/>
      <c r="G27" s="37"/>
      <c r="H27" s="37"/>
      <c r="J27" s="36" t="s">
        <v>1324</v>
      </c>
      <c r="K27" s="35">
        <f>ROUND(213.1,0)+3</f>
        <v>216</v>
      </c>
      <c r="M27" s="34">
        <f>K27/3</f>
        <v>72</v>
      </c>
    </row>
    <row r="28" spans="2:13" s="32" customFormat="1" ht="16.95" customHeight="1" x14ac:dyDescent="0.2">
      <c r="B28" s="31" t="s">
        <v>1310</v>
      </c>
      <c r="C28" s="30">
        <v>1</v>
      </c>
      <c r="D28" s="30"/>
      <c r="E28" s="30">
        <f t="shared" si="0"/>
        <v>1</v>
      </c>
      <c r="F28" s="37"/>
      <c r="G28" s="37"/>
      <c r="H28" s="37"/>
      <c r="J28" s="31" t="s">
        <v>1323</v>
      </c>
      <c r="K28" s="30">
        <f>ROUND(213.1,0)+3</f>
        <v>216</v>
      </c>
      <c r="M28" s="34">
        <f>K28/6</f>
        <v>36</v>
      </c>
    </row>
    <row r="29" spans="2:13" s="32" customFormat="1" ht="16.95" customHeight="1" x14ac:dyDescent="0.2">
      <c r="B29" s="31" t="s">
        <v>1309</v>
      </c>
      <c r="C29" s="30">
        <v>2</v>
      </c>
      <c r="D29" s="30"/>
      <c r="E29" s="30">
        <f t="shared" si="0"/>
        <v>2</v>
      </c>
      <c r="F29" s="37"/>
      <c r="G29" s="37"/>
      <c r="H29" s="37"/>
      <c r="J29" s="36" t="s">
        <v>1322</v>
      </c>
      <c r="K29" s="35">
        <f>ROUND((1310.5-K8-K9-K18),0)+2</f>
        <v>255</v>
      </c>
      <c r="M29" s="34">
        <f>K29/3</f>
        <v>85</v>
      </c>
    </row>
    <row r="30" spans="2:13" s="32" customFormat="1" ht="16.95" customHeight="1" x14ac:dyDescent="0.2">
      <c r="B30" s="31" t="s">
        <v>1308</v>
      </c>
      <c r="C30" s="30">
        <v>3</v>
      </c>
      <c r="D30" s="30"/>
      <c r="E30" s="30">
        <f t="shared" si="0"/>
        <v>3</v>
      </c>
      <c r="F30" s="37"/>
      <c r="G30" s="37"/>
      <c r="H30" s="37"/>
      <c r="J30" s="31" t="s">
        <v>1321</v>
      </c>
      <c r="K30" s="30">
        <f>ROUND((1310.5-K8-K9-K18),0)+5</f>
        <v>258</v>
      </c>
      <c r="M30" s="34">
        <f>K30/6</f>
        <v>43</v>
      </c>
    </row>
    <row r="31" spans="2:13" s="32" customFormat="1" ht="16.95" customHeight="1" x14ac:dyDescent="0.2">
      <c r="B31" s="31" t="s">
        <v>1307</v>
      </c>
      <c r="C31" s="30">
        <v>12</v>
      </c>
      <c r="D31" s="30"/>
      <c r="E31" s="30">
        <f t="shared" si="0"/>
        <v>12</v>
      </c>
      <c r="F31" s="37"/>
      <c r="G31" s="37"/>
      <c r="H31" s="37"/>
      <c r="J31" s="36" t="s">
        <v>1320</v>
      </c>
      <c r="K31" s="35">
        <f>ROUND((148.3-K19),0)+2</f>
        <v>108</v>
      </c>
      <c r="M31" s="34">
        <f>K31/3</f>
        <v>36</v>
      </c>
    </row>
    <row r="32" spans="2:13" s="32" customFormat="1" ht="16.95" customHeight="1" x14ac:dyDescent="0.2">
      <c r="B32" s="31" t="s">
        <v>1306</v>
      </c>
      <c r="C32" s="30">
        <v>6</v>
      </c>
      <c r="D32" s="30"/>
      <c r="E32" s="30">
        <f t="shared" si="0"/>
        <v>6</v>
      </c>
      <c r="F32" s="37"/>
      <c r="G32" s="37"/>
      <c r="H32" s="37"/>
      <c r="J32" s="31" t="s">
        <v>1319</v>
      </c>
      <c r="K32" s="30">
        <f>ROUND((148.3-K19),0)+2</f>
        <v>108</v>
      </c>
      <c r="M32" s="34">
        <f>K32/6</f>
        <v>18</v>
      </c>
    </row>
    <row r="33" spans="2:13" s="32" customFormat="1" ht="16.95" customHeight="1" x14ac:dyDescent="0.2">
      <c r="B33" s="31" t="s">
        <v>1305</v>
      </c>
      <c r="C33" s="30">
        <v>2</v>
      </c>
      <c r="D33" s="30"/>
      <c r="E33" s="30">
        <f t="shared" si="0"/>
        <v>2</v>
      </c>
      <c r="F33" s="37"/>
      <c r="G33" s="37"/>
      <c r="H33" s="37"/>
      <c r="J33" s="36" t="s">
        <v>1318</v>
      </c>
      <c r="K33" s="35">
        <f>ROUND((581.4-K10-K16),0)+1</f>
        <v>102</v>
      </c>
      <c r="M33" s="34">
        <f>K33/3</f>
        <v>34</v>
      </c>
    </row>
    <row r="34" spans="2:13" s="32" customFormat="1" ht="16.95" customHeight="1" x14ac:dyDescent="0.2">
      <c r="B34" s="31" t="s">
        <v>1304</v>
      </c>
      <c r="C34" s="30">
        <v>2</v>
      </c>
      <c r="D34" s="30"/>
      <c r="E34" s="30">
        <f t="shared" si="0"/>
        <v>2</v>
      </c>
      <c r="F34" s="37"/>
      <c r="G34" s="37"/>
      <c r="H34" s="37"/>
      <c r="J34" s="31" t="s">
        <v>1317</v>
      </c>
      <c r="K34" s="30">
        <f>ROUND((581.4-K10-K16),0)+1</f>
        <v>102</v>
      </c>
      <c r="M34" s="34">
        <f>K34/6</f>
        <v>17</v>
      </c>
    </row>
    <row r="35" spans="2:13" s="32" customFormat="1" ht="16.95" customHeight="1" x14ac:dyDescent="0.2">
      <c r="B35" s="31" t="s">
        <v>1303</v>
      </c>
      <c r="C35" s="30">
        <v>1</v>
      </c>
      <c r="D35" s="30"/>
      <c r="E35" s="30">
        <f t="shared" si="0"/>
        <v>1</v>
      </c>
      <c r="F35" s="37"/>
      <c r="G35" s="37"/>
      <c r="H35" s="37"/>
      <c r="J35" s="36" t="s">
        <v>1316</v>
      </c>
      <c r="K35" s="35">
        <f>ROUND((278.1-K12-K17),0)+1</f>
        <v>39</v>
      </c>
      <c r="M35" s="34">
        <f>K35/3</f>
        <v>13</v>
      </c>
    </row>
    <row r="36" spans="2:13" s="32" customFormat="1" ht="16.95" customHeight="1" x14ac:dyDescent="0.25">
      <c r="F36" s="22"/>
      <c r="G36" s="22"/>
      <c r="J36" s="31" t="s">
        <v>1315</v>
      </c>
      <c r="K36" s="30">
        <f>ROUND((278.1-K12-K17),0)+4</f>
        <v>42</v>
      </c>
      <c r="M36" s="34">
        <f>K36/6</f>
        <v>7</v>
      </c>
    </row>
    <row r="37" spans="2:13" s="32" customFormat="1" ht="16.95" customHeight="1" x14ac:dyDescent="0.25">
      <c r="F37" s="22"/>
      <c r="G37" s="22"/>
      <c r="J37" s="31" t="s">
        <v>1314</v>
      </c>
      <c r="K37" s="30">
        <v>680</v>
      </c>
    </row>
    <row r="38" spans="2:13" s="32" customFormat="1" ht="16.95" customHeight="1" x14ac:dyDescent="0.25">
      <c r="C38" s="33"/>
      <c r="D38" s="33"/>
      <c r="F38" s="22"/>
      <c r="G38" s="22"/>
      <c r="J38" s="31" t="s">
        <v>1313</v>
      </c>
      <c r="K38" s="30">
        <v>6</v>
      </c>
    </row>
    <row r="39" spans="2:13" s="32" customFormat="1" ht="16.95" customHeight="1" x14ac:dyDescent="0.25">
      <c r="F39" s="22"/>
      <c r="G39" s="22"/>
      <c r="J39" s="31" t="s">
        <v>1312</v>
      </c>
      <c r="K39" s="30">
        <v>1</v>
      </c>
    </row>
    <row r="40" spans="2:13" s="32" customFormat="1" ht="16.95" customHeight="1" x14ac:dyDescent="0.25">
      <c r="F40" s="22"/>
      <c r="G40" s="22"/>
      <c r="J40" s="31" t="s">
        <v>1311</v>
      </c>
      <c r="K40" s="30">
        <v>5</v>
      </c>
    </row>
    <row r="41" spans="2:13" s="32" customFormat="1" ht="16.95" customHeight="1" x14ac:dyDescent="0.25">
      <c r="F41" s="22"/>
      <c r="G41" s="22"/>
      <c r="J41" s="31" t="s">
        <v>1310</v>
      </c>
      <c r="K41" s="30">
        <v>1</v>
      </c>
    </row>
    <row r="42" spans="2:13" s="32" customFormat="1" ht="16.95" customHeight="1" x14ac:dyDescent="0.25">
      <c r="F42" s="22"/>
      <c r="G42" s="22"/>
      <c r="J42" s="31" t="s">
        <v>1309</v>
      </c>
      <c r="K42" s="30">
        <v>2</v>
      </c>
    </row>
    <row r="43" spans="2:13" s="32" customFormat="1" ht="16.95" customHeight="1" x14ac:dyDescent="0.25">
      <c r="F43" s="22"/>
      <c r="G43" s="22"/>
      <c r="J43" s="31" t="s">
        <v>1308</v>
      </c>
      <c r="K43" s="30">
        <v>3</v>
      </c>
    </row>
    <row r="44" spans="2:13" s="32" customFormat="1" ht="16.95" customHeight="1" x14ac:dyDescent="0.25">
      <c r="F44" s="22"/>
      <c r="G44" s="22"/>
      <c r="J44" s="31" t="s">
        <v>1307</v>
      </c>
      <c r="K44" s="30">
        <v>12</v>
      </c>
    </row>
    <row r="45" spans="2:13" s="32" customFormat="1" ht="16.95" customHeight="1" x14ac:dyDescent="0.25">
      <c r="B45" s="22"/>
      <c r="C45" s="22"/>
      <c r="D45" s="22"/>
      <c r="E45" s="22"/>
      <c r="F45" s="22"/>
      <c r="G45" s="22"/>
      <c r="J45" s="31" t="s">
        <v>1306</v>
      </c>
      <c r="K45" s="30">
        <v>6</v>
      </c>
    </row>
    <row r="46" spans="2:13" s="32" customFormat="1" ht="16.95" customHeight="1" x14ac:dyDescent="0.25">
      <c r="B46" s="22"/>
      <c r="C46" s="22"/>
      <c r="D46" s="22"/>
      <c r="E46" s="22"/>
      <c r="F46" s="22"/>
      <c r="G46" s="22"/>
      <c r="J46" s="31" t="s">
        <v>1305</v>
      </c>
      <c r="K46" s="30">
        <v>2</v>
      </c>
    </row>
    <row r="47" spans="2:13" s="32" customFormat="1" ht="16.95" customHeight="1" x14ac:dyDescent="0.25">
      <c r="B47" s="22"/>
      <c r="C47" s="22"/>
      <c r="D47" s="22"/>
      <c r="E47" s="22"/>
      <c r="F47" s="22"/>
      <c r="G47" s="22"/>
      <c r="J47" s="31" t="s">
        <v>1304</v>
      </c>
      <c r="K47" s="30">
        <v>2</v>
      </c>
    </row>
    <row r="48" spans="2:13" ht="13.8" x14ac:dyDescent="0.25">
      <c r="J48" s="31" t="s">
        <v>1303</v>
      </c>
      <c r="K48" s="30">
        <v>1</v>
      </c>
      <c r="L48" s="26"/>
    </row>
    <row r="49" spans="8:10" ht="13.8" x14ac:dyDescent="0.25">
      <c r="H49" s="29"/>
      <c r="I49" s="28"/>
      <c r="J49" s="26"/>
    </row>
    <row r="50" spans="8:10" ht="13.8" x14ac:dyDescent="0.25">
      <c r="H50" s="27"/>
      <c r="I50" s="26"/>
      <c r="J50" s="26"/>
    </row>
    <row r="51" spans="8:10" ht="13.8" x14ac:dyDescent="0.25">
      <c r="H51" s="27"/>
      <c r="I51" s="26"/>
      <c r="J51" s="25"/>
    </row>
    <row r="52" spans="8:10" ht="13.8" x14ac:dyDescent="0.25">
      <c r="H52" s="27"/>
      <c r="I52" s="26"/>
      <c r="J52" s="25"/>
    </row>
    <row r="53" spans="8:10" ht="13.8" x14ac:dyDescent="0.25">
      <c r="H53" s="24"/>
      <c r="I53" s="25"/>
      <c r="J53" s="25"/>
    </row>
    <row r="54" spans="8:10" ht="13.8" x14ac:dyDescent="0.25">
      <c r="H54" s="24"/>
      <c r="I54" s="25"/>
      <c r="J54" s="25"/>
    </row>
    <row r="55" spans="8:10" ht="13.8" x14ac:dyDescent="0.25">
      <c r="H55" s="24"/>
      <c r="I55" s="25"/>
      <c r="J55" s="25"/>
    </row>
    <row r="56" spans="8:10" ht="13.8" x14ac:dyDescent="0.25">
      <c r="H56" s="24"/>
      <c r="I56" s="25"/>
      <c r="J56" s="25"/>
    </row>
    <row r="57" spans="8:10" ht="13.8" x14ac:dyDescent="0.25">
      <c r="H57" s="24"/>
      <c r="I57" s="25"/>
      <c r="J57" s="25"/>
    </row>
    <row r="58" spans="8:10" ht="13.8" x14ac:dyDescent="0.25">
      <c r="H58" s="24"/>
      <c r="I58" s="25"/>
      <c r="J58" s="25"/>
    </row>
    <row r="59" spans="8:10" ht="13.8" x14ac:dyDescent="0.25">
      <c r="H59" s="24"/>
      <c r="I59" s="25"/>
      <c r="J59" s="25"/>
    </row>
    <row r="60" spans="8:10" ht="13.8" x14ac:dyDescent="0.25">
      <c r="H60" s="24"/>
      <c r="I60" s="25"/>
      <c r="J60" s="25"/>
    </row>
    <row r="61" spans="8:10" ht="13.8" x14ac:dyDescent="0.25">
      <c r="H61" s="24"/>
      <c r="I61" s="25"/>
      <c r="J61" s="25"/>
    </row>
    <row r="62" spans="8:10" ht="13.8" x14ac:dyDescent="0.25">
      <c r="H62" s="24"/>
      <c r="I62" s="25"/>
      <c r="J62" s="25"/>
    </row>
    <row r="63" spans="8:10" ht="13.8" x14ac:dyDescent="0.25">
      <c r="H63" s="24"/>
      <c r="I63" s="25"/>
      <c r="J63" s="25"/>
    </row>
    <row r="64" spans="8:10" ht="13.8" x14ac:dyDescent="0.25">
      <c r="H64" s="24"/>
      <c r="I64" s="25"/>
      <c r="J64" s="25"/>
    </row>
    <row r="65" spans="8:10" ht="13.8" x14ac:dyDescent="0.25">
      <c r="H65" s="24"/>
      <c r="I65" s="25"/>
      <c r="J65" s="25"/>
    </row>
    <row r="66" spans="8:10" ht="13.8" x14ac:dyDescent="0.25">
      <c r="H66" s="24"/>
      <c r="I66" s="25"/>
      <c r="J66" s="25"/>
    </row>
    <row r="67" spans="8:10" ht="13.8" x14ac:dyDescent="0.25">
      <c r="H67" s="24"/>
      <c r="I67" s="25"/>
      <c r="J67" s="25"/>
    </row>
    <row r="68" spans="8:10" ht="13.8" x14ac:dyDescent="0.25">
      <c r="H68" s="24"/>
      <c r="I68" s="25"/>
      <c r="J68" s="25"/>
    </row>
    <row r="69" spans="8:10" ht="13.8" x14ac:dyDescent="0.25">
      <c r="H69" s="24"/>
      <c r="I69" s="25"/>
      <c r="J69" s="25"/>
    </row>
    <row r="70" spans="8:10" ht="13.8" x14ac:dyDescent="0.25">
      <c r="H70" s="24"/>
      <c r="I70" s="25"/>
      <c r="J70" s="25"/>
    </row>
    <row r="71" spans="8:10" ht="13.8" x14ac:dyDescent="0.25">
      <c r="H71" s="24"/>
      <c r="I71" s="25"/>
      <c r="J71" s="25"/>
    </row>
    <row r="72" spans="8:10" ht="13.8" x14ac:dyDescent="0.25">
      <c r="H72" s="24"/>
      <c r="I72" s="25"/>
      <c r="J72" s="25"/>
    </row>
    <row r="73" spans="8:10" ht="13.8" x14ac:dyDescent="0.25">
      <c r="H73" s="24"/>
      <c r="I73" s="25"/>
      <c r="J73" s="25"/>
    </row>
    <row r="74" spans="8:10" ht="13.8" x14ac:dyDescent="0.25">
      <c r="H74" s="24"/>
      <c r="I74" s="25"/>
      <c r="J74" s="25"/>
    </row>
    <row r="75" spans="8:10" ht="13.8" x14ac:dyDescent="0.25">
      <c r="H75" s="24"/>
      <c r="I75" s="25"/>
      <c r="J75" s="25"/>
    </row>
    <row r="76" spans="8:10" ht="13.8" x14ac:dyDescent="0.25">
      <c r="H76" s="24"/>
      <c r="I76" s="25"/>
      <c r="J76" s="25"/>
    </row>
    <row r="77" spans="8:10" ht="13.8" x14ac:dyDescent="0.25">
      <c r="H77" s="24"/>
      <c r="I77" s="25"/>
      <c r="J77" s="25"/>
    </row>
    <row r="78" spans="8:10" ht="13.8" x14ac:dyDescent="0.25">
      <c r="H78" s="24"/>
      <c r="I78" s="25"/>
      <c r="J78" s="25"/>
    </row>
    <row r="79" spans="8:10" ht="13.8" x14ac:dyDescent="0.25">
      <c r="H79" s="24"/>
      <c r="I79" s="25"/>
      <c r="J79" s="25"/>
    </row>
    <row r="80" spans="8:10" ht="13.8" x14ac:dyDescent="0.25">
      <c r="H80" s="24"/>
      <c r="I80" s="25"/>
      <c r="J80" s="25"/>
    </row>
    <row r="81" spans="8:10" ht="13.8" x14ac:dyDescent="0.25">
      <c r="H81" s="24"/>
      <c r="I81" s="25"/>
      <c r="J81" s="25"/>
    </row>
    <row r="82" spans="8:10" ht="13.8" x14ac:dyDescent="0.25">
      <c r="H82" s="24"/>
      <c r="I82" s="25"/>
      <c r="J82" s="25"/>
    </row>
    <row r="83" spans="8:10" ht="13.8" x14ac:dyDescent="0.25">
      <c r="H83" s="24"/>
      <c r="I83" s="25"/>
      <c r="J83" s="25"/>
    </row>
    <row r="84" spans="8:10" ht="13.8" x14ac:dyDescent="0.25">
      <c r="H84" s="24"/>
      <c r="I84" s="25"/>
      <c r="J84" s="25"/>
    </row>
    <row r="85" spans="8:10" ht="13.8" x14ac:dyDescent="0.25">
      <c r="H85" s="24"/>
      <c r="I85" s="25"/>
      <c r="J85" s="25"/>
    </row>
    <row r="86" spans="8:10" ht="13.8" x14ac:dyDescent="0.25">
      <c r="H86" s="24"/>
      <c r="I86" s="25"/>
      <c r="J86" s="25"/>
    </row>
    <row r="87" spans="8:10" ht="13.8" x14ac:dyDescent="0.25">
      <c r="H87" s="24"/>
      <c r="I87" s="25"/>
      <c r="J87" s="25"/>
    </row>
    <row r="88" spans="8:10" ht="13.8" x14ac:dyDescent="0.25">
      <c r="H88" s="24"/>
      <c r="I88" s="25"/>
      <c r="J88" s="25"/>
    </row>
    <row r="89" spans="8:10" ht="13.8" x14ac:dyDescent="0.25">
      <c r="H89" s="24"/>
      <c r="I89" s="25"/>
      <c r="J89" s="25"/>
    </row>
    <row r="90" spans="8:10" ht="13.8" x14ac:dyDescent="0.25">
      <c r="H90" s="24"/>
      <c r="I90" s="25"/>
      <c r="J90" s="25"/>
    </row>
    <row r="91" spans="8:10" ht="13.8" x14ac:dyDescent="0.25">
      <c r="H91" s="24"/>
      <c r="I91" s="25"/>
      <c r="J91" s="25"/>
    </row>
    <row r="92" spans="8:10" ht="13.8" x14ac:dyDescent="0.25">
      <c r="H92" s="24"/>
      <c r="I92" s="25"/>
      <c r="J92" s="25"/>
    </row>
    <row r="93" spans="8:10" ht="13.8" x14ac:dyDescent="0.25">
      <c r="H93" s="24"/>
      <c r="I93" s="25"/>
      <c r="J93" s="25"/>
    </row>
    <row r="94" spans="8:10" ht="13.8" x14ac:dyDescent="0.25">
      <c r="H94" s="24"/>
      <c r="I94" s="25"/>
      <c r="J94" s="25"/>
    </row>
    <row r="95" spans="8:10" ht="13.8" x14ac:dyDescent="0.25">
      <c r="H95" s="24"/>
      <c r="I95" s="25"/>
      <c r="J95" s="25"/>
    </row>
    <row r="96" spans="8:10" ht="13.8" x14ac:dyDescent="0.25">
      <c r="H96" s="24"/>
      <c r="I96" s="25"/>
      <c r="J96" s="25"/>
    </row>
    <row r="97" spans="8:10" ht="13.8" x14ac:dyDescent="0.25">
      <c r="H97" s="24"/>
      <c r="I97" s="25"/>
      <c r="J97" s="25"/>
    </row>
    <row r="98" spans="8:10" ht="13.8" x14ac:dyDescent="0.25">
      <c r="H98" s="24"/>
      <c r="I98" s="25"/>
      <c r="J98" s="25"/>
    </row>
    <row r="99" spans="8:10" ht="13.8" x14ac:dyDescent="0.25">
      <c r="H99" s="24"/>
      <c r="I99" s="25"/>
      <c r="J99" s="25"/>
    </row>
    <row r="100" spans="8:10" ht="13.8" x14ac:dyDescent="0.25">
      <c r="H100" s="24"/>
      <c r="I100" s="25"/>
      <c r="J100" s="25"/>
    </row>
    <row r="101" spans="8:10" ht="13.8" x14ac:dyDescent="0.25">
      <c r="H101" s="24"/>
      <c r="I101" s="25"/>
      <c r="J101" s="25"/>
    </row>
    <row r="102" spans="8:10" ht="13.8" x14ac:dyDescent="0.25">
      <c r="H102" s="24"/>
      <c r="I102" s="25"/>
      <c r="J102" s="25"/>
    </row>
    <row r="103" spans="8:10" ht="13.8" x14ac:dyDescent="0.25">
      <c r="H103" s="24"/>
      <c r="I103" s="25"/>
      <c r="J103" s="25"/>
    </row>
    <row r="104" spans="8:10" ht="13.8" x14ac:dyDescent="0.25">
      <c r="H104" s="24"/>
      <c r="I104" s="25"/>
      <c r="J104" s="25"/>
    </row>
    <row r="105" spans="8:10" ht="13.8" x14ac:dyDescent="0.25">
      <c r="H105" s="24"/>
      <c r="I105" s="25"/>
      <c r="J105" s="25"/>
    </row>
    <row r="106" spans="8:10" ht="13.8" x14ac:dyDescent="0.25">
      <c r="H106" s="24"/>
      <c r="I106" s="25"/>
      <c r="J106" s="25"/>
    </row>
    <row r="107" spans="8:10" ht="13.8" x14ac:dyDescent="0.25">
      <c r="H107" s="24"/>
      <c r="I107" s="25"/>
      <c r="J107" s="25"/>
    </row>
    <row r="108" spans="8:10" ht="13.8" x14ac:dyDescent="0.25">
      <c r="H108" s="24"/>
      <c r="I108" s="25"/>
      <c r="J108" s="25"/>
    </row>
    <row r="109" spans="8:10" ht="13.8" x14ac:dyDescent="0.25">
      <c r="H109" s="24"/>
      <c r="I109" s="25"/>
      <c r="J109" s="25"/>
    </row>
    <row r="110" spans="8:10" ht="13.8" x14ac:dyDescent="0.25">
      <c r="H110" s="24"/>
      <c r="I110" s="25"/>
      <c r="J110" s="25"/>
    </row>
    <row r="111" spans="8:10" ht="13.8" x14ac:dyDescent="0.25">
      <c r="H111" s="24"/>
      <c r="I111" s="25"/>
      <c r="J111" s="25"/>
    </row>
    <row r="112" spans="8:10" ht="13.8" x14ac:dyDescent="0.25">
      <c r="H112" s="24"/>
      <c r="I112" s="25"/>
      <c r="J112" s="25"/>
    </row>
    <row r="113" spans="8:10" ht="13.8" x14ac:dyDescent="0.25">
      <c r="H113" s="24"/>
      <c r="I113" s="25"/>
      <c r="J113" s="25"/>
    </row>
    <row r="114" spans="8:10" ht="13.8" x14ac:dyDescent="0.25">
      <c r="H114" s="24"/>
      <c r="I114" s="25"/>
      <c r="J114" s="25"/>
    </row>
    <row r="115" spans="8:10" ht="13.8" x14ac:dyDescent="0.25">
      <c r="H115" s="24"/>
      <c r="I115" s="25"/>
      <c r="J115" s="25"/>
    </row>
    <row r="116" spans="8:10" ht="13.8" x14ac:dyDescent="0.25">
      <c r="H116" s="24"/>
      <c r="I116" s="25"/>
      <c r="J116" s="25"/>
    </row>
    <row r="117" spans="8:10" ht="13.8" x14ac:dyDescent="0.25">
      <c r="H117" s="24"/>
      <c r="I117" s="25"/>
      <c r="J117" s="25"/>
    </row>
    <row r="118" spans="8:10" ht="13.8" x14ac:dyDescent="0.25">
      <c r="H118" s="24"/>
      <c r="I118" s="25"/>
      <c r="J118" s="25"/>
    </row>
    <row r="119" spans="8:10" ht="13.8" x14ac:dyDescent="0.25">
      <c r="H119" s="24"/>
      <c r="I119" s="25"/>
      <c r="J119" s="25"/>
    </row>
    <row r="120" spans="8:10" ht="13.8" x14ac:dyDescent="0.25">
      <c r="H120" s="24"/>
      <c r="I120" s="25"/>
      <c r="J120" s="25"/>
    </row>
    <row r="121" spans="8:10" ht="13.8" x14ac:dyDescent="0.25">
      <c r="H121" s="24"/>
      <c r="I121" s="25"/>
      <c r="J121" s="25"/>
    </row>
    <row r="122" spans="8:10" ht="13.8" x14ac:dyDescent="0.25">
      <c r="H122" s="24"/>
      <c r="I122" s="25"/>
      <c r="J122" s="25"/>
    </row>
    <row r="123" spans="8:10" ht="13.8" x14ac:dyDescent="0.25">
      <c r="H123" s="24"/>
      <c r="I123" s="25"/>
      <c r="J123" s="25"/>
    </row>
    <row r="124" spans="8:10" ht="13.8" x14ac:dyDescent="0.25">
      <c r="H124" s="24"/>
      <c r="I124" s="25"/>
      <c r="J124" s="25"/>
    </row>
    <row r="125" spans="8:10" ht="13.8" x14ac:dyDescent="0.25">
      <c r="H125" s="24"/>
      <c r="I125" s="25"/>
      <c r="J125" s="25"/>
    </row>
    <row r="126" spans="8:10" ht="13.8" x14ac:dyDescent="0.25">
      <c r="H126" s="24"/>
      <c r="I126" s="25"/>
      <c r="J126" s="25"/>
    </row>
    <row r="127" spans="8:10" ht="13.8" x14ac:dyDescent="0.25">
      <c r="H127" s="24"/>
      <c r="I127" s="25"/>
      <c r="J127" s="25"/>
    </row>
    <row r="128" spans="8:10" ht="13.8" x14ac:dyDescent="0.25">
      <c r="H128" s="24"/>
      <c r="I128" s="25"/>
      <c r="J128" s="25"/>
    </row>
    <row r="129" spans="8:10" ht="13.8" x14ac:dyDescent="0.25">
      <c r="H129" s="24"/>
      <c r="I129" s="25"/>
      <c r="J129" s="25"/>
    </row>
    <row r="130" spans="8:10" ht="13.8" x14ac:dyDescent="0.25">
      <c r="H130" s="24"/>
      <c r="I130" s="25"/>
      <c r="J130" s="25"/>
    </row>
    <row r="131" spans="8:10" ht="13.8" x14ac:dyDescent="0.25">
      <c r="H131" s="24"/>
      <c r="I131" s="25"/>
      <c r="J131" s="25"/>
    </row>
    <row r="132" spans="8:10" ht="13.8" x14ac:dyDescent="0.25">
      <c r="H132" s="24"/>
      <c r="I132" s="25"/>
      <c r="J132" s="25"/>
    </row>
    <row r="133" spans="8:10" ht="13.8" x14ac:dyDescent="0.25">
      <c r="H133" s="24"/>
      <c r="I133" s="25"/>
      <c r="J133" s="25"/>
    </row>
    <row r="134" spans="8:10" ht="13.8" x14ac:dyDescent="0.25">
      <c r="H134" s="24"/>
      <c r="I134" s="25"/>
      <c r="J134" s="25"/>
    </row>
    <row r="135" spans="8:10" ht="13.8" x14ac:dyDescent="0.25">
      <c r="H135" s="24"/>
      <c r="I135" s="25"/>
      <c r="J135" s="25"/>
    </row>
    <row r="136" spans="8:10" ht="13.8" x14ac:dyDescent="0.25">
      <c r="H136" s="24"/>
      <c r="I136" s="25"/>
      <c r="J136" s="25"/>
    </row>
    <row r="137" spans="8:10" ht="13.8" x14ac:dyDescent="0.25">
      <c r="H137" s="24"/>
      <c r="I137" s="25"/>
      <c r="J137" s="25"/>
    </row>
    <row r="138" spans="8:10" ht="13.8" x14ac:dyDescent="0.25">
      <c r="H138" s="24"/>
      <c r="I138" s="25"/>
      <c r="J138" s="25"/>
    </row>
    <row r="139" spans="8:10" ht="13.8" x14ac:dyDescent="0.25">
      <c r="H139" s="24"/>
      <c r="I139" s="25"/>
      <c r="J139" s="25"/>
    </row>
    <row r="140" spans="8:10" ht="13.8" x14ac:dyDescent="0.25">
      <c r="H140" s="24"/>
      <c r="I140" s="25"/>
      <c r="J140" s="25"/>
    </row>
    <row r="141" spans="8:10" ht="13.8" x14ac:dyDescent="0.25">
      <c r="H141" s="24"/>
      <c r="I141" s="25"/>
      <c r="J141" s="25"/>
    </row>
    <row r="142" spans="8:10" ht="13.8" x14ac:dyDescent="0.25">
      <c r="H142" s="24"/>
      <c r="I142" s="25"/>
      <c r="J142" s="25"/>
    </row>
    <row r="143" spans="8:10" ht="13.8" x14ac:dyDescent="0.25">
      <c r="H143" s="24"/>
      <c r="I143" s="25"/>
      <c r="J143" s="25"/>
    </row>
    <row r="144" spans="8:10" ht="13.8" x14ac:dyDescent="0.25">
      <c r="H144" s="24"/>
      <c r="I144" s="25"/>
      <c r="J144" s="25"/>
    </row>
    <row r="145" spans="8:10" ht="13.8" x14ac:dyDescent="0.25">
      <c r="H145" s="24"/>
      <c r="I145" s="25"/>
      <c r="J145" s="25"/>
    </row>
    <row r="146" spans="8:10" ht="13.8" x14ac:dyDescent="0.25">
      <c r="H146" s="24"/>
      <c r="I146" s="25"/>
      <c r="J146" s="25"/>
    </row>
    <row r="147" spans="8:10" ht="13.8" x14ac:dyDescent="0.25">
      <c r="H147" s="24"/>
      <c r="I147" s="25"/>
      <c r="J147" s="25"/>
    </row>
    <row r="148" spans="8:10" ht="13.8" x14ac:dyDescent="0.25">
      <c r="H148" s="24"/>
      <c r="I148" s="25"/>
      <c r="J148" s="25"/>
    </row>
    <row r="149" spans="8:10" ht="13.8" x14ac:dyDescent="0.25">
      <c r="H149" s="24"/>
      <c r="I149" s="25"/>
      <c r="J149" s="25"/>
    </row>
    <row r="150" spans="8:10" ht="13.8" x14ac:dyDescent="0.25">
      <c r="H150" s="24"/>
      <c r="I150" s="25"/>
      <c r="J150" s="25"/>
    </row>
    <row r="151" spans="8:10" ht="13.8" x14ac:dyDescent="0.25">
      <c r="H151" s="24"/>
      <c r="I151" s="25"/>
      <c r="J151" s="25"/>
    </row>
    <row r="152" spans="8:10" ht="13.8" x14ac:dyDescent="0.25">
      <c r="H152" s="24"/>
      <c r="I152" s="25"/>
      <c r="J152" s="25"/>
    </row>
    <row r="153" spans="8:10" ht="13.8" x14ac:dyDescent="0.25">
      <c r="H153" s="24"/>
      <c r="I153" s="25"/>
      <c r="J153" s="25"/>
    </row>
    <row r="154" spans="8:10" ht="13.8" x14ac:dyDescent="0.25">
      <c r="H154" s="24"/>
      <c r="I154" s="25"/>
      <c r="J154" s="25"/>
    </row>
    <row r="155" spans="8:10" ht="13.8" x14ac:dyDescent="0.25">
      <c r="H155" s="24"/>
      <c r="I155" s="25"/>
      <c r="J155" s="25"/>
    </row>
    <row r="156" spans="8:10" ht="13.8" x14ac:dyDescent="0.25">
      <c r="H156" s="24"/>
      <c r="I156" s="25"/>
      <c r="J156" s="25"/>
    </row>
    <row r="157" spans="8:10" ht="13.8" x14ac:dyDescent="0.25">
      <c r="H157" s="24"/>
      <c r="I157" s="25"/>
      <c r="J157" s="25"/>
    </row>
    <row r="158" spans="8:10" ht="13.8" x14ac:dyDescent="0.25">
      <c r="H158" s="24"/>
      <c r="I158" s="25"/>
      <c r="J158" s="25"/>
    </row>
    <row r="159" spans="8:10" ht="13.8" x14ac:dyDescent="0.25">
      <c r="H159" s="24"/>
      <c r="I159" s="25"/>
      <c r="J159" s="25"/>
    </row>
    <row r="160" spans="8:10" ht="13.8" x14ac:dyDescent="0.25">
      <c r="H160" s="24"/>
      <c r="I160" s="25"/>
      <c r="J160" s="25"/>
    </row>
    <row r="161" spans="8:10" ht="13.8" x14ac:dyDescent="0.25">
      <c r="H161" s="24"/>
      <c r="I161" s="25"/>
      <c r="J161" s="25"/>
    </row>
    <row r="162" spans="8:10" ht="13.8" x14ac:dyDescent="0.25">
      <c r="H162" s="24"/>
      <c r="I162" s="25"/>
      <c r="J162" s="25"/>
    </row>
    <row r="163" spans="8:10" ht="13.8" x14ac:dyDescent="0.25">
      <c r="H163" s="24"/>
      <c r="I163" s="25"/>
      <c r="J163" s="25"/>
    </row>
    <row r="164" spans="8:10" ht="13.8" x14ac:dyDescent="0.25">
      <c r="H164" s="24"/>
      <c r="I164" s="25"/>
      <c r="J164" s="25"/>
    </row>
    <row r="165" spans="8:10" ht="13.8" x14ac:dyDescent="0.25">
      <c r="H165" s="24"/>
      <c r="I165" s="25"/>
      <c r="J165" s="25"/>
    </row>
    <row r="166" spans="8:10" ht="13.8" x14ac:dyDescent="0.25">
      <c r="H166" s="24"/>
      <c r="I166" s="25"/>
      <c r="J166" s="25"/>
    </row>
    <row r="167" spans="8:10" ht="13.8" x14ac:dyDescent="0.25">
      <c r="H167" s="24"/>
      <c r="I167" s="25"/>
      <c r="J167" s="25"/>
    </row>
    <row r="168" spans="8:10" ht="13.8" x14ac:dyDescent="0.25">
      <c r="H168" s="24"/>
      <c r="I168" s="25"/>
      <c r="J168" s="25"/>
    </row>
    <row r="169" spans="8:10" ht="13.8" x14ac:dyDescent="0.25">
      <c r="H169" s="24"/>
      <c r="I169" s="25"/>
      <c r="J169" s="25"/>
    </row>
    <row r="170" spans="8:10" ht="13.8" x14ac:dyDescent="0.25">
      <c r="H170" s="24"/>
      <c r="I170" s="25"/>
      <c r="J170" s="25"/>
    </row>
    <row r="171" spans="8:10" ht="13.8" x14ac:dyDescent="0.25">
      <c r="H171" s="24"/>
      <c r="I171" s="25"/>
      <c r="J171" s="25"/>
    </row>
    <row r="172" spans="8:10" ht="13.8" x14ac:dyDescent="0.25">
      <c r="H172" s="24"/>
      <c r="I172" s="25"/>
      <c r="J172" s="25"/>
    </row>
    <row r="173" spans="8:10" ht="13.8" x14ac:dyDescent="0.25">
      <c r="H173" s="24"/>
      <c r="I173" s="25"/>
      <c r="J173" s="25"/>
    </row>
    <row r="174" spans="8:10" ht="13.8" x14ac:dyDescent="0.25">
      <c r="H174" s="24"/>
      <c r="I174" s="25"/>
      <c r="J174" s="25"/>
    </row>
    <row r="175" spans="8:10" ht="13.8" x14ac:dyDescent="0.25">
      <c r="H175" s="24"/>
      <c r="I175" s="25"/>
      <c r="J175" s="25"/>
    </row>
    <row r="176" spans="8:10" ht="13.8" x14ac:dyDescent="0.25">
      <c r="H176" s="24"/>
      <c r="I176" s="25"/>
      <c r="J176" s="25"/>
    </row>
    <row r="177" spans="8:10" ht="13.8" x14ac:dyDescent="0.25">
      <c r="H177" s="24"/>
      <c r="I177" s="25"/>
      <c r="J177" s="25"/>
    </row>
    <row r="178" spans="8:10" ht="13.8" x14ac:dyDescent="0.25">
      <c r="H178" s="24"/>
      <c r="I178" s="25"/>
      <c r="J178" s="25"/>
    </row>
    <row r="179" spans="8:10" ht="13.8" x14ac:dyDescent="0.25">
      <c r="H179" s="24"/>
      <c r="I179" s="25"/>
      <c r="J179" s="25"/>
    </row>
    <row r="180" spans="8:10" ht="13.8" x14ac:dyDescent="0.25">
      <c r="H180" s="24"/>
      <c r="I180" s="25"/>
      <c r="J180" s="25"/>
    </row>
    <row r="181" spans="8:10" ht="13.8" x14ac:dyDescent="0.25">
      <c r="H181" s="24"/>
      <c r="I181" s="25"/>
      <c r="J181" s="25"/>
    </row>
    <row r="182" spans="8:10" ht="13.8" x14ac:dyDescent="0.25">
      <c r="H182" s="24"/>
      <c r="I182" s="25"/>
      <c r="J182" s="25"/>
    </row>
    <row r="183" spans="8:10" ht="13.8" x14ac:dyDescent="0.25">
      <c r="H183" s="24"/>
      <c r="I183" s="25"/>
      <c r="J183" s="25"/>
    </row>
    <row r="184" spans="8:10" ht="13.8" x14ac:dyDescent="0.25">
      <c r="H184" s="24"/>
      <c r="I184" s="25"/>
      <c r="J184" s="25"/>
    </row>
    <row r="185" spans="8:10" ht="13.8" x14ac:dyDescent="0.25">
      <c r="H185" s="24"/>
      <c r="I185" s="25"/>
      <c r="J185" s="25"/>
    </row>
    <row r="186" spans="8:10" ht="13.8" x14ac:dyDescent="0.25">
      <c r="H186" s="24"/>
      <c r="I186" s="25"/>
      <c r="J186" s="25"/>
    </row>
    <row r="187" spans="8:10" ht="13.8" x14ac:dyDescent="0.25">
      <c r="H187" s="24"/>
      <c r="I187" s="25"/>
      <c r="J187" s="25"/>
    </row>
    <row r="188" spans="8:10" ht="13.8" x14ac:dyDescent="0.25">
      <c r="H188" s="24"/>
      <c r="I188" s="25"/>
      <c r="J188" s="25"/>
    </row>
    <row r="189" spans="8:10" ht="13.8" x14ac:dyDescent="0.25">
      <c r="H189" s="24"/>
      <c r="I189" s="25"/>
      <c r="J189" s="25"/>
    </row>
    <row r="190" spans="8:10" ht="13.8" x14ac:dyDescent="0.25">
      <c r="H190" s="24"/>
      <c r="I190" s="25"/>
      <c r="J190" s="25"/>
    </row>
    <row r="191" spans="8:10" ht="13.8" x14ac:dyDescent="0.25">
      <c r="H191" s="24"/>
      <c r="I191" s="25"/>
      <c r="J191" s="25"/>
    </row>
    <row r="192" spans="8:10" ht="13.8" x14ac:dyDescent="0.25">
      <c r="H192" s="24"/>
      <c r="I192" s="25"/>
      <c r="J192" s="25"/>
    </row>
    <row r="193" spans="8:10" ht="13.8" x14ac:dyDescent="0.25">
      <c r="H193" s="24"/>
      <c r="I193" s="25"/>
      <c r="J193" s="25"/>
    </row>
    <row r="194" spans="8:10" ht="13.8" x14ac:dyDescent="0.25">
      <c r="H194" s="24"/>
      <c r="I194" s="25"/>
      <c r="J194" s="25"/>
    </row>
    <row r="195" spans="8:10" ht="13.8" x14ac:dyDescent="0.25">
      <c r="H195" s="24"/>
      <c r="I195" s="25"/>
      <c r="J195" s="25"/>
    </row>
    <row r="196" spans="8:10" ht="13.8" x14ac:dyDescent="0.25">
      <c r="H196" s="24"/>
      <c r="I196" s="25"/>
      <c r="J196" s="25"/>
    </row>
    <row r="197" spans="8:10" ht="13.8" x14ac:dyDescent="0.25">
      <c r="H197" s="24"/>
      <c r="I197" s="25"/>
      <c r="J197" s="25"/>
    </row>
    <row r="198" spans="8:10" ht="13.8" x14ac:dyDescent="0.25">
      <c r="H198" s="24"/>
      <c r="I198" s="25"/>
      <c r="J198" s="25"/>
    </row>
    <row r="199" spans="8:10" ht="13.8" x14ac:dyDescent="0.25">
      <c r="H199" s="24"/>
      <c r="I199" s="25"/>
      <c r="J199" s="25"/>
    </row>
    <row r="200" spans="8:10" ht="13.8" x14ac:dyDescent="0.25">
      <c r="H200" s="24"/>
      <c r="I200" s="25"/>
      <c r="J200" s="25"/>
    </row>
    <row r="201" spans="8:10" ht="13.8" x14ac:dyDescent="0.25">
      <c r="H201" s="24"/>
      <c r="I201" s="25"/>
      <c r="J201" s="25"/>
    </row>
    <row r="202" spans="8:10" ht="13.8" x14ac:dyDescent="0.25">
      <c r="H202" s="24"/>
      <c r="I202" s="25"/>
      <c r="J202" s="25"/>
    </row>
    <row r="203" spans="8:10" ht="13.8" x14ac:dyDescent="0.25">
      <c r="H203" s="24"/>
      <c r="I203" s="25"/>
      <c r="J203" s="25"/>
    </row>
    <row r="204" spans="8:10" ht="13.8" x14ac:dyDescent="0.25">
      <c r="H204" s="24"/>
      <c r="I204" s="25"/>
      <c r="J204" s="25"/>
    </row>
    <row r="205" spans="8:10" ht="13.8" x14ac:dyDescent="0.25">
      <c r="H205" s="24"/>
      <c r="I205" s="25"/>
      <c r="J205" s="25"/>
    </row>
    <row r="206" spans="8:10" ht="13.8" x14ac:dyDescent="0.25">
      <c r="H206" s="24"/>
      <c r="I206" s="25"/>
      <c r="J206" s="25"/>
    </row>
    <row r="207" spans="8:10" ht="13.8" x14ac:dyDescent="0.25">
      <c r="H207" s="24"/>
      <c r="I207" s="25"/>
      <c r="J207" s="25"/>
    </row>
    <row r="208" spans="8:10" ht="13.8" x14ac:dyDescent="0.25">
      <c r="H208" s="24"/>
      <c r="I208" s="25"/>
      <c r="J208" s="25"/>
    </row>
    <row r="209" spans="8:10" ht="13.8" x14ac:dyDescent="0.25">
      <c r="H209" s="24"/>
      <c r="I209" s="25"/>
      <c r="J209" s="25"/>
    </row>
    <row r="210" spans="8:10" ht="13.8" x14ac:dyDescent="0.25">
      <c r="H210" s="24"/>
      <c r="I210" s="25"/>
      <c r="J210" s="25"/>
    </row>
    <row r="211" spans="8:10" ht="13.8" x14ac:dyDescent="0.25">
      <c r="H211" s="24"/>
      <c r="I211" s="25"/>
      <c r="J211" s="25"/>
    </row>
    <row r="212" spans="8:10" ht="13.8" x14ac:dyDescent="0.25">
      <c r="H212" s="24"/>
      <c r="I212" s="25"/>
      <c r="J212" s="25"/>
    </row>
    <row r="213" spans="8:10" ht="13.8" x14ac:dyDescent="0.25">
      <c r="H213" s="24"/>
      <c r="I213" s="25"/>
      <c r="J213" s="25"/>
    </row>
    <row r="214" spans="8:10" ht="13.8" x14ac:dyDescent="0.25">
      <c r="H214" s="24"/>
      <c r="I214" s="25"/>
      <c r="J214" s="25"/>
    </row>
    <row r="215" spans="8:10" ht="13.8" x14ac:dyDescent="0.25">
      <c r="H215" s="24"/>
      <c r="I215" s="25"/>
      <c r="J215" s="25"/>
    </row>
    <row r="216" spans="8:10" ht="13.8" x14ac:dyDescent="0.25">
      <c r="H216" s="24"/>
      <c r="I216" s="25"/>
      <c r="J216" s="25"/>
    </row>
    <row r="217" spans="8:10" ht="13.8" x14ac:dyDescent="0.25">
      <c r="H217" s="24"/>
      <c r="I217" s="25"/>
      <c r="J217" s="25"/>
    </row>
    <row r="218" spans="8:10" ht="13.8" x14ac:dyDescent="0.25">
      <c r="H218" s="24"/>
      <c r="I218" s="25"/>
      <c r="J218" s="25"/>
    </row>
    <row r="219" spans="8:10" ht="13.8" x14ac:dyDescent="0.25">
      <c r="H219" s="24"/>
      <c r="I219" s="25"/>
      <c r="J219" s="25"/>
    </row>
    <row r="220" spans="8:10" ht="13.8" x14ac:dyDescent="0.25">
      <c r="H220" s="24"/>
      <c r="I220" s="25"/>
      <c r="J220" s="25"/>
    </row>
    <row r="221" spans="8:10" ht="13.8" x14ac:dyDescent="0.25">
      <c r="H221" s="24"/>
      <c r="I221" s="25"/>
      <c r="J221" s="25"/>
    </row>
    <row r="222" spans="8:10" ht="13.8" x14ac:dyDescent="0.25">
      <c r="H222" s="24"/>
      <c r="I222" s="25"/>
      <c r="J222" s="25"/>
    </row>
    <row r="223" spans="8:10" ht="13.8" x14ac:dyDescent="0.25">
      <c r="H223" s="24"/>
      <c r="I223" s="25"/>
      <c r="J223" s="25"/>
    </row>
    <row r="224" spans="8:10" ht="13.8" x14ac:dyDescent="0.25">
      <c r="H224" s="24"/>
      <c r="I224" s="25"/>
      <c r="J224" s="25"/>
    </row>
    <row r="225" spans="8:10" ht="13.8" x14ac:dyDescent="0.25">
      <c r="H225" s="24"/>
      <c r="I225" s="25"/>
      <c r="J225" s="25"/>
    </row>
    <row r="226" spans="8:10" ht="13.8" x14ac:dyDescent="0.25">
      <c r="H226" s="24"/>
      <c r="I226" s="25"/>
      <c r="J226" s="25"/>
    </row>
    <row r="227" spans="8:10" ht="13.8" x14ac:dyDescent="0.25">
      <c r="H227" s="24"/>
      <c r="I227" s="25"/>
      <c r="J227" s="25"/>
    </row>
    <row r="228" spans="8:10" ht="13.8" x14ac:dyDescent="0.25">
      <c r="H228" s="24"/>
      <c r="I228" s="25"/>
      <c r="J228" s="25"/>
    </row>
    <row r="229" spans="8:10" ht="13.8" x14ac:dyDescent="0.25">
      <c r="H229" s="24"/>
      <c r="I229" s="25"/>
      <c r="J229" s="25"/>
    </row>
    <row r="230" spans="8:10" ht="13.8" x14ac:dyDescent="0.25">
      <c r="H230" s="24"/>
      <c r="I230" s="25"/>
      <c r="J230" s="25"/>
    </row>
    <row r="231" spans="8:10" ht="13.8" x14ac:dyDescent="0.25">
      <c r="H231" s="24"/>
      <c r="I231" s="25"/>
      <c r="J231" s="25"/>
    </row>
    <row r="232" spans="8:10" ht="13.8" x14ac:dyDescent="0.25">
      <c r="H232" s="24"/>
      <c r="I232" s="25"/>
      <c r="J232" s="25"/>
    </row>
    <row r="233" spans="8:10" ht="13.8" x14ac:dyDescent="0.25">
      <c r="H233" s="24"/>
      <c r="I233" s="25"/>
      <c r="J233" s="25"/>
    </row>
    <row r="234" spans="8:10" ht="13.8" x14ac:dyDescent="0.25">
      <c r="H234" s="24"/>
      <c r="I234" s="25"/>
      <c r="J234" s="25"/>
    </row>
    <row r="235" spans="8:10" ht="13.8" x14ac:dyDescent="0.25">
      <c r="H235" s="24"/>
      <c r="I235" s="25"/>
      <c r="J235" s="25"/>
    </row>
    <row r="236" spans="8:10" ht="13.8" x14ac:dyDescent="0.25">
      <c r="H236" s="24"/>
      <c r="I236" s="25"/>
      <c r="J236" s="25"/>
    </row>
    <row r="237" spans="8:10" ht="13.8" x14ac:dyDescent="0.25">
      <c r="H237" s="24"/>
      <c r="I237" s="25"/>
      <c r="J237" s="25"/>
    </row>
    <row r="238" spans="8:10" ht="13.8" x14ac:dyDescent="0.25">
      <c r="H238" s="24"/>
      <c r="I238" s="25"/>
      <c r="J238" s="25"/>
    </row>
    <row r="239" spans="8:10" ht="13.8" x14ac:dyDescent="0.25">
      <c r="H239" s="24"/>
      <c r="I239" s="25"/>
      <c r="J239" s="25"/>
    </row>
    <row r="240" spans="8:10" ht="13.8" x14ac:dyDescent="0.25">
      <c r="H240" s="24"/>
      <c r="I240" s="25"/>
      <c r="J240" s="25"/>
    </row>
    <row r="241" spans="8:10" ht="13.8" x14ac:dyDescent="0.25">
      <c r="H241" s="24"/>
      <c r="I241" s="25"/>
      <c r="J241" s="25"/>
    </row>
    <row r="242" spans="8:10" ht="13.8" x14ac:dyDescent="0.25">
      <c r="H242" s="24"/>
      <c r="I242" s="25"/>
      <c r="J242" s="25"/>
    </row>
    <row r="243" spans="8:10" ht="13.8" x14ac:dyDescent="0.25">
      <c r="H243" s="24"/>
      <c r="I243" s="25"/>
      <c r="J243" s="25"/>
    </row>
    <row r="244" spans="8:10" ht="13.8" x14ac:dyDescent="0.25">
      <c r="H244" s="24"/>
      <c r="I244" s="25"/>
      <c r="J244" s="25"/>
    </row>
    <row r="245" spans="8:10" ht="13.8" x14ac:dyDescent="0.25">
      <c r="H245" s="24"/>
      <c r="I245" s="25"/>
      <c r="J245" s="25"/>
    </row>
    <row r="246" spans="8:10" ht="13.8" x14ac:dyDescent="0.25">
      <c r="H246" s="24"/>
      <c r="I246" s="25"/>
      <c r="J246" s="25"/>
    </row>
    <row r="247" spans="8:10" ht="13.8" x14ac:dyDescent="0.25">
      <c r="H247" s="24"/>
      <c r="I247" s="25"/>
      <c r="J247" s="25"/>
    </row>
    <row r="248" spans="8:10" ht="13.8" x14ac:dyDescent="0.25">
      <c r="H248" s="24"/>
      <c r="I248" s="25"/>
      <c r="J248" s="25"/>
    </row>
    <row r="249" spans="8:10" ht="13.8" x14ac:dyDescent="0.25">
      <c r="H249" s="24"/>
      <c r="I249" s="25"/>
      <c r="J249" s="25"/>
    </row>
    <row r="250" spans="8:10" ht="13.8" x14ac:dyDescent="0.25">
      <c r="H250" s="24"/>
      <c r="I250" s="25"/>
      <c r="J250" s="25"/>
    </row>
    <row r="251" spans="8:10" ht="13.8" x14ac:dyDescent="0.25">
      <c r="H251" s="24"/>
      <c r="I251" s="25"/>
      <c r="J251" s="25"/>
    </row>
    <row r="252" spans="8:10" ht="13.8" x14ac:dyDescent="0.25">
      <c r="H252" s="24"/>
      <c r="I252" s="25"/>
      <c r="J252" s="25"/>
    </row>
    <row r="253" spans="8:10" ht="13.8" x14ac:dyDescent="0.25">
      <c r="H253" s="24"/>
      <c r="I253" s="25"/>
      <c r="J253" s="25"/>
    </row>
    <row r="254" spans="8:10" ht="13.8" x14ac:dyDescent="0.25">
      <c r="H254" s="24"/>
      <c r="I254" s="25"/>
      <c r="J254" s="25"/>
    </row>
    <row r="255" spans="8:10" ht="13.8" x14ac:dyDescent="0.25">
      <c r="H255" s="24"/>
      <c r="I255" s="25"/>
      <c r="J255" s="25"/>
    </row>
    <row r="256" spans="8:10" ht="13.8" x14ac:dyDescent="0.25">
      <c r="H256" s="24"/>
      <c r="I256" s="25"/>
      <c r="J256" s="25"/>
    </row>
    <row r="257" spans="8:10" ht="13.8" x14ac:dyDescent="0.25">
      <c r="H257" s="24"/>
      <c r="I257" s="25"/>
      <c r="J257" s="25"/>
    </row>
    <row r="258" spans="8:10" ht="13.8" x14ac:dyDescent="0.25">
      <c r="H258" s="24"/>
      <c r="I258" s="25"/>
      <c r="J258" s="25"/>
    </row>
    <row r="259" spans="8:10" ht="13.8" x14ac:dyDescent="0.25">
      <c r="H259" s="24"/>
      <c r="I259" s="25"/>
      <c r="J259" s="25"/>
    </row>
    <row r="260" spans="8:10" ht="13.8" x14ac:dyDescent="0.25">
      <c r="H260" s="24"/>
      <c r="I260" s="25"/>
      <c r="J260" s="25"/>
    </row>
    <row r="261" spans="8:10" ht="13.8" x14ac:dyDescent="0.25">
      <c r="H261" s="24"/>
      <c r="I261" s="25"/>
      <c r="J261" s="25"/>
    </row>
    <row r="262" spans="8:10" ht="13.8" x14ac:dyDescent="0.25">
      <c r="H262" s="24"/>
      <c r="I262" s="25"/>
      <c r="J262" s="25"/>
    </row>
    <row r="263" spans="8:10" ht="13.8" x14ac:dyDescent="0.25">
      <c r="H263" s="24"/>
      <c r="I263" s="25"/>
      <c r="J263" s="25"/>
    </row>
    <row r="264" spans="8:10" ht="13.8" x14ac:dyDescent="0.25">
      <c r="H264" s="24"/>
      <c r="I264" s="25"/>
      <c r="J264" s="25"/>
    </row>
    <row r="265" spans="8:10" ht="13.8" x14ac:dyDescent="0.25">
      <c r="H265" s="24"/>
      <c r="I265" s="25"/>
      <c r="J265" s="25"/>
    </row>
    <row r="266" spans="8:10" ht="13.8" x14ac:dyDescent="0.25">
      <c r="H266" s="24"/>
      <c r="I266" s="25"/>
      <c r="J266" s="25"/>
    </row>
    <row r="267" spans="8:10" ht="13.8" x14ac:dyDescent="0.25">
      <c r="H267" s="24"/>
      <c r="I267" s="25"/>
      <c r="J267" s="25"/>
    </row>
    <row r="268" spans="8:10" ht="13.8" x14ac:dyDescent="0.25">
      <c r="H268" s="24"/>
      <c r="I268" s="25"/>
      <c r="J268" s="25"/>
    </row>
    <row r="269" spans="8:10" ht="13.8" x14ac:dyDescent="0.25">
      <c r="H269" s="24"/>
      <c r="I269" s="25"/>
      <c r="J269" s="25"/>
    </row>
    <row r="270" spans="8:10" ht="13.8" x14ac:dyDescent="0.25">
      <c r="H270" s="24"/>
      <c r="I270" s="25"/>
      <c r="J270" s="25"/>
    </row>
    <row r="271" spans="8:10" ht="13.8" x14ac:dyDescent="0.25">
      <c r="H271" s="24"/>
      <c r="I271" s="25"/>
      <c r="J271" s="25"/>
    </row>
    <row r="272" spans="8:10" ht="13.8" x14ac:dyDescent="0.25">
      <c r="H272" s="24"/>
      <c r="I272" s="25"/>
      <c r="J272" s="25"/>
    </row>
    <row r="273" spans="8:10" ht="13.8" x14ac:dyDescent="0.25">
      <c r="H273" s="24"/>
      <c r="I273" s="25"/>
      <c r="J273" s="25"/>
    </row>
    <row r="274" spans="8:10" ht="13.8" x14ac:dyDescent="0.25">
      <c r="H274" s="24"/>
      <c r="I274" s="25"/>
      <c r="J274" s="25"/>
    </row>
    <row r="275" spans="8:10" ht="13.8" x14ac:dyDescent="0.25">
      <c r="H275" s="24"/>
      <c r="I275" s="25"/>
      <c r="J275" s="23"/>
    </row>
    <row r="276" spans="8:10" ht="13.8" x14ac:dyDescent="0.25">
      <c r="H276" s="24"/>
      <c r="I276" s="25"/>
      <c r="J276" s="23"/>
    </row>
    <row r="277" spans="8:10" ht="13.8" x14ac:dyDescent="0.25">
      <c r="H277" s="24"/>
      <c r="I277" s="23"/>
      <c r="J277" s="23"/>
    </row>
    <row r="278" spans="8:10" ht="13.8" x14ac:dyDescent="0.25">
      <c r="H278" s="24"/>
      <c r="I278" s="23"/>
      <c r="J278" s="23"/>
    </row>
    <row r="279" spans="8:10" ht="13.8" x14ac:dyDescent="0.25">
      <c r="H279" s="24"/>
      <c r="I279" s="23"/>
      <c r="J279" s="23"/>
    </row>
    <row r="280" spans="8:10" ht="13.8" x14ac:dyDescent="0.25">
      <c r="H280" s="24"/>
      <c r="I280" s="23"/>
      <c r="J280" s="23"/>
    </row>
    <row r="281" spans="8:10" ht="13.8" x14ac:dyDescent="0.25">
      <c r="H281" s="24"/>
      <c r="I281" s="23"/>
      <c r="J281" s="23"/>
    </row>
    <row r="282" spans="8:10" ht="13.8" x14ac:dyDescent="0.25">
      <c r="H282" s="24"/>
      <c r="I282" s="23"/>
      <c r="J282" s="23"/>
    </row>
    <row r="283" spans="8:10" ht="13.8" x14ac:dyDescent="0.25">
      <c r="H283" s="24"/>
      <c r="I283" s="23"/>
      <c r="J283" s="23"/>
    </row>
    <row r="284" spans="8:10" ht="13.8" x14ac:dyDescent="0.25">
      <c r="H284" s="24"/>
      <c r="I284" s="23"/>
      <c r="J284" s="23"/>
    </row>
    <row r="285" spans="8:10" ht="13.8" x14ac:dyDescent="0.25">
      <c r="H285" s="24"/>
      <c r="I285" s="23"/>
      <c r="J285" s="23"/>
    </row>
    <row r="286" spans="8:10" ht="13.8" x14ac:dyDescent="0.25">
      <c r="H286" s="24"/>
      <c r="I286" s="23"/>
      <c r="J286" s="23"/>
    </row>
    <row r="287" spans="8:10" ht="13.8" x14ac:dyDescent="0.25">
      <c r="H287" s="24"/>
      <c r="I287" s="23"/>
      <c r="J287" s="23"/>
    </row>
    <row r="288" spans="8:10" ht="13.8" x14ac:dyDescent="0.25">
      <c r="H288" s="24"/>
      <c r="I288" s="23"/>
      <c r="J288" s="23"/>
    </row>
    <row r="289" spans="8:10" ht="13.8" x14ac:dyDescent="0.25">
      <c r="H289" s="24"/>
      <c r="I289" s="23"/>
      <c r="J289" s="23"/>
    </row>
    <row r="290" spans="8:10" ht="13.8" x14ac:dyDescent="0.25">
      <c r="H290" s="24"/>
      <c r="I290" s="23"/>
      <c r="J290" s="23"/>
    </row>
    <row r="291" spans="8:10" ht="13.8" x14ac:dyDescent="0.25">
      <c r="H291" s="24"/>
      <c r="I291" s="23"/>
      <c r="J291" s="23"/>
    </row>
    <row r="292" spans="8:10" ht="13.8" x14ac:dyDescent="0.25">
      <c r="H292" s="24"/>
      <c r="I292" s="23"/>
      <c r="J292" s="23"/>
    </row>
    <row r="293" spans="8:10" ht="13.8" x14ac:dyDescent="0.25">
      <c r="H293" s="24"/>
      <c r="I293" s="23"/>
      <c r="J293" s="23"/>
    </row>
    <row r="294" spans="8:10" ht="13.8" x14ac:dyDescent="0.25">
      <c r="H294" s="24"/>
      <c r="I294" s="23"/>
      <c r="J294" s="23"/>
    </row>
    <row r="295" spans="8:10" ht="13.8" x14ac:dyDescent="0.25">
      <c r="H295" s="24"/>
      <c r="I295" s="23"/>
      <c r="J295" s="23"/>
    </row>
    <row r="296" spans="8:10" ht="13.8" x14ac:dyDescent="0.25">
      <c r="H296" s="24"/>
      <c r="I296" s="23"/>
      <c r="J296" s="23"/>
    </row>
    <row r="297" spans="8:10" ht="13.8" x14ac:dyDescent="0.25">
      <c r="H297" s="24"/>
      <c r="I297" s="23"/>
      <c r="J297" s="23"/>
    </row>
    <row r="298" spans="8:10" ht="13.8" x14ac:dyDescent="0.25">
      <c r="H298" s="24"/>
      <c r="I298" s="23"/>
      <c r="J298" s="23"/>
    </row>
    <row r="299" spans="8:10" ht="13.8" x14ac:dyDescent="0.25">
      <c r="H299" s="24"/>
      <c r="I299" s="23"/>
      <c r="J299" s="23"/>
    </row>
    <row r="300" spans="8:10" ht="13.8" x14ac:dyDescent="0.25">
      <c r="H300" s="24"/>
      <c r="I300" s="23"/>
      <c r="J300" s="23"/>
    </row>
    <row r="301" spans="8:10" ht="13.8" x14ac:dyDescent="0.25">
      <c r="H301" s="24"/>
      <c r="I301" s="23"/>
      <c r="J301" s="23"/>
    </row>
    <row r="302" spans="8:10" ht="13.8" x14ac:dyDescent="0.25">
      <c r="H302" s="24"/>
      <c r="I302" s="23"/>
      <c r="J302" s="23"/>
    </row>
    <row r="303" spans="8:10" ht="13.8" x14ac:dyDescent="0.25">
      <c r="H303" s="24"/>
      <c r="I303" s="23"/>
      <c r="J303" s="23"/>
    </row>
    <row r="304" spans="8:10" ht="13.8" x14ac:dyDescent="0.25">
      <c r="H304" s="24"/>
      <c r="I304" s="23"/>
      <c r="J304" s="23"/>
    </row>
    <row r="305" spans="8:10" ht="13.8" x14ac:dyDescent="0.25">
      <c r="H305" s="24"/>
      <c r="I305" s="23"/>
      <c r="J305" s="23"/>
    </row>
    <row r="306" spans="8:10" ht="13.8" x14ac:dyDescent="0.25">
      <c r="H306" s="24"/>
      <c r="I306" s="23"/>
      <c r="J306" s="23"/>
    </row>
    <row r="307" spans="8:10" ht="13.8" x14ac:dyDescent="0.25">
      <c r="H307" s="24"/>
      <c r="I307" s="23"/>
      <c r="J307" s="23"/>
    </row>
    <row r="308" spans="8:10" ht="13.8" x14ac:dyDescent="0.25">
      <c r="H308" s="24"/>
      <c r="I308" s="23"/>
      <c r="J308" s="23"/>
    </row>
    <row r="309" spans="8:10" ht="13.8" x14ac:dyDescent="0.25">
      <c r="H309" s="24"/>
      <c r="I309" s="23"/>
      <c r="J309" s="23"/>
    </row>
    <row r="310" spans="8:10" ht="13.8" x14ac:dyDescent="0.25">
      <c r="H310" s="24"/>
      <c r="I310" s="23"/>
      <c r="J310" s="23"/>
    </row>
    <row r="311" spans="8:10" ht="13.8" x14ac:dyDescent="0.25">
      <c r="H311" s="24"/>
      <c r="I311" s="23"/>
      <c r="J311" s="23"/>
    </row>
    <row r="312" spans="8:10" ht="13.8" x14ac:dyDescent="0.25">
      <c r="H312" s="24"/>
      <c r="I312" s="23"/>
      <c r="J312" s="23"/>
    </row>
    <row r="313" spans="8:10" ht="13.8" x14ac:dyDescent="0.25">
      <c r="H313" s="24"/>
      <c r="I313" s="23"/>
      <c r="J313" s="23"/>
    </row>
    <row r="314" spans="8:10" ht="13.8" x14ac:dyDescent="0.25">
      <c r="H314" s="24"/>
      <c r="I314" s="23"/>
      <c r="J314" s="23"/>
    </row>
    <row r="315" spans="8:10" ht="13.8" x14ac:dyDescent="0.25">
      <c r="H315" s="24"/>
      <c r="I315" s="23"/>
      <c r="J315" s="23"/>
    </row>
    <row r="316" spans="8:10" ht="13.8" x14ac:dyDescent="0.25">
      <c r="H316" s="24"/>
      <c r="I316" s="23"/>
      <c r="J316" s="23"/>
    </row>
    <row r="317" spans="8:10" ht="13.8" x14ac:dyDescent="0.25">
      <c r="H317" s="24"/>
      <c r="I317" s="23"/>
      <c r="J317" s="23"/>
    </row>
    <row r="318" spans="8:10" ht="13.8" x14ac:dyDescent="0.25">
      <c r="H318" s="24"/>
      <c r="I318" s="23"/>
      <c r="J318" s="23"/>
    </row>
    <row r="319" spans="8:10" ht="13.8" x14ac:dyDescent="0.25">
      <c r="H319" s="24"/>
      <c r="I319" s="23"/>
      <c r="J319" s="23"/>
    </row>
    <row r="320" spans="8:10" ht="13.8" x14ac:dyDescent="0.25">
      <c r="H320" s="24"/>
      <c r="I320" s="23"/>
      <c r="J320" s="23"/>
    </row>
    <row r="321" spans="8:10" ht="13.8" x14ac:dyDescent="0.25">
      <c r="H321" s="24"/>
      <c r="I321" s="23"/>
      <c r="J321" s="23"/>
    </row>
    <row r="322" spans="8:10" ht="13.8" x14ac:dyDescent="0.25">
      <c r="H322" s="24"/>
      <c r="I322" s="23"/>
      <c r="J322" s="23"/>
    </row>
    <row r="323" spans="8:10" ht="13.8" x14ac:dyDescent="0.25">
      <c r="H323" s="24"/>
      <c r="I323" s="23"/>
      <c r="J323" s="23"/>
    </row>
    <row r="324" spans="8:10" ht="13.8" x14ac:dyDescent="0.25">
      <c r="H324" s="24"/>
      <c r="I324" s="23"/>
      <c r="J324" s="23"/>
    </row>
    <row r="325" spans="8:10" ht="13.8" x14ac:dyDescent="0.25">
      <c r="H325" s="24"/>
      <c r="I325" s="23"/>
    </row>
    <row r="326" spans="8:10" ht="13.8" x14ac:dyDescent="0.25">
      <c r="H326" s="24"/>
      <c r="I326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Studnie</vt:lpstr>
      <vt:lpstr>Wpusty</vt:lpstr>
      <vt:lpstr>Wyloty</vt:lpstr>
      <vt:lpstr>RURY </vt:lpstr>
      <vt:lpstr>Studnie!Obszar_wydruku</vt:lpstr>
      <vt:lpstr>Wpusty!Obszar_wydruku</vt:lpstr>
      <vt:lpstr>Wyloty!Obszar_wydruku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m.przysowa</dc:creator>
  <cp:lastModifiedBy>Marek Jarosz</cp:lastModifiedBy>
  <cp:lastPrinted>2026-05-08T08:52:37Z</cp:lastPrinted>
  <dcterms:created xsi:type="dcterms:W3CDTF">2026-02-24T10:16:47Z</dcterms:created>
  <dcterms:modified xsi:type="dcterms:W3CDTF">2026-07-09T10:09:08Z</dcterms:modified>
</cp:coreProperties>
</file>